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lanticonline.sharepoint.com/sites/People-PT/Documentos Compartilhados/General/3.14 People - Avaliação Desempenho/"/>
    </mc:Choice>
  </mc:AlternateContent>
  <xr:revisionPtr revIDLastSave="282" documentId="8_{E8FF2D8F-DCCE-4013-B663-586F6D915383}" xr6:coauthVersionLast="47" xr6:coauthVersionMax="47" xr10:uidLastSave="{87C3BE30-66BC-4703-9516-A895D72D98A9}"/>
  <bookViews>
    <workbookView xWindow="-110" yWindow="-110" windowWidth="19420" windowHeight="11500" tabRatio="735" activeTab="1" xr2:uid="{CDFB12F4-106B-4B7E-9625-5BF1AD6B6AC2}"/>
  </bookViews>
  <sheets>
    <sheet name="Guião" sheetId="43" r:id="rId1"/>
    <sheet name="ADC" sheetId="35" r:id="rId2"/>
    <sheet name="MATRIZ" sheetId="40" state="hidden" r:id="rId3"/>
    <sheet name="EXEMPLOS KPIs" sheetId="41" r:id="rId4"/>
    <sheet name="Processo de Avaliação" sheetId="42" state="hidden" r:id="rId5"/>
  </sheets>
  <definedNames>
    <definedName name="_xlnm.Print_Area" localSheetId="1">ADC!$A$1:$P$69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35" l="1"/>
  <c r="B82" i="35"/>
  <c r="G38" i="35"/>
  <c r="G37" i="35"/>
  <c r="G36" i="35"/>
  <c r="G35" i="35"/>
  <c r="G34" i="35"/>
  <c r="F97" i="35"/>
  <c r="L96" i="35"/>
  <c r="M96" i="35" s="1"/>
  <c r="K96" i="35"/>
  <c r="L95" i="35"/>
  <c r="M95" i="35" s="1"/>
  <c r="K95" i="35"/>
  <c r="L94" i="35"/>
  <c r="M94" i="35" s="1"/>
  <c r="K94" i="35"/>
  <c r="L93" i="35"/>
  <c r="M93" i="35" s="1"/>
  <c r="K93" i="35"/>
  <c r="L92" i="35"/>
  <c r="M92" i="35" s="1"/>
  <c r="K92" i="35"/>
  <c r="L91" i="35"/>
  <c r="M91" i="35" s="1"/>
  <c r="K91" i="35"/>
  <c r="L90" i="35"/>
  <c r="M90" i="35" s="1"/>
  <c r="K90" i="35"/>
  <c r="L89" i="35"/>
  <c r="M89" i="35" s="1"/>
  <c r="K89" i="35"/>
  <c r="A2" i="40"/>
  <c r="A3" i="40"/>
  <c r="A4" i="40"/>
  <c r="A5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L47" i="35"/>
  <c r="M47" i="35" s="1"/>
  <c r="L48" i="35"/>
  <c r="M48" i="35" s="1"/>
  <c r="L49" i="35"/>
  <c r="M49" i="35" s="1"/>
  <c r="L50" i="35"/>
  <c r="M50" i="35" s="1"/>
  <c r="L51" i="35"/>
  <c r="M51" i="35" s="1"/>
  <c r="L52" i="35"/>
  <c r="M52" i="35" s="1"/>
  <c r="L53" i="35"/>
  <c r="M53" i="35" s="1"/>
  <c r="L54" i="35"/>
  <c r="M54" i="35" s="1"/>
  <c r="F55" i="35"/>
  <c r="K54" i="35"/>
  <c r="K53" i="35"/>
  <c r="K52" i="35"/>
  <c r="K51" i="35"/>
  <c r="K50" i="35"/>
  <c r="K49" i="35"/>
  <c r="K48" i="35"/>
  <c r="K47" i="35"/>
  <c r="M97" i="35" l="1"/>
  <c r="M55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Marcia Matos de Azevedo</author>
  </authors>
  <commentList>
    <comment ref="B58" authorId="0" shapeId="0" xr:uid="{3AB07E9D-EDDA-4F56-A87B-1B4282634FE9}">
      <text>
        <r>
          <rPr>
            <b/>
            <sz val="14"/>
            <color indexed="81"/>
            <rFont val="Segoe UI"/>
            <family val="2"/>
          </rPr>
          <t>Objetivo: Promover o desenvolvimento da liderança e o fortalecimento da relação gestor–colaborador, alinhado aos valores da Tlantic.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9E4FEE-7D2A-46DC-8AA4-0248C0E45C5D}" keepAlive="1" name="Query - pt_base (2)" description="Connection to the 'pt_base (2)' query in the workbook." type="5" refreshedVersion="4" background="1" saveData="1">
    <dbPr connection="Provider=Microsoft.Mashup.OleDb.1;Data Source=$Workbook$;Location=&quot;pt_base (2)&quot;;Extended Properties=&quot;&quot;" command="SELECT * FROM [pt_base (2)]"/>
  </connection>
</connections>
</file>

<file path=xl/sharedStrings.xml><?xml version="1.0" encoding="utf-8"?>
<sst xmlns="http://schemas.openxmlformats.org/spreadsheetml/2006/main" count="328" uniqueCount="205">
  <si>
    <t>G2</t>
  </si>
  <si>
    <t>Nome Colaborador</t>
  </si>
  <si>
    <t>Nº Colaborador</t>
  </si>
  <si>
    <t>Data da avaliação</t>
  </si>
  <si>
    <t>Geografia</t>
  </si>
  <si>
    <t>Ano de avaliação</t>
  </si>
  <si>
    <t>Função</t>
  </si>
  <si>
    <t>Nível Hierárquico</t>
  </si>
  <si>
    <t>Avaliador</t>
  </si>
  <si>
    <t>Equipa</t>
  </si>
  <si>
    <t>Data de admissão</t>
  </si>
  <si>
    <t>Un.</t>
  </si>
  <si>
    <t>Peso</t>
  </si>
  <si>
    <t>Objectivo</t>
  </si>
  <si>
    <t>Resultado</t>
  </si>
  <si>
    <t>% Realização</t>
  </si>
  <si>
    <t>% ajustado</t>
  </si>
  <si>
    <t>Avaliação</t>
  </si>
  <si>
    <t>Comentários</t>
  </si>
  <si>
    <t>min</t>
  </si>
  <si>
    <t>obj</t>
  </si>
  <si>
    <t>max</t>
  </si>
  <si>
    <t>Quantitativo</t>
  </si>
  <si>
    <t>%</t>
  </si>
  <si>
    <t>Qualitativo</t>
  </si>
  <si>
    <t>RESULTADO</t>
  </si>
  <si>
    <t>Áreas de Interesse</t>
  </si>
  <si>
    <t>Possível próxima função</t>
  </si>
  <si>
    <t>Potenciais backups</t>
  </si>
  <si>
    <t>Necessidades identificadas</t>
  </si>
  <si>
    <t>Período Recomendado</t>
  </si>
  <si>
    <t>5. Necessidades de Desenvolvimento e Formação</t>
  </si>
  <si>
    <t>Associate</t>
  </si>
  <si>
    <t>Valor</t>
  </si>
  <si>
    <t>Junior</t>
  </si>
  <si>
    <t>Senior</t>
  </si>
  <si>
    <t>Trainee</t>
  </si>
  <si>
    <t>Lead</t>
  </si>
  <si>
    <t>Principal</t>
  </si>
  <si>
    <t>Agilidade Criativa</t>
  </si>
  <si>
    <t>Aprende rapidamente, adapta-se a novas rotinas e executa atividades com orientação constante, demonstrando curiosidade e abertura a novas ideias.</t>
  </si>
  <si>
    <t>Executa atividades com autonomia inicial, adapta-se a mudanças e aplica aprendizados no dia a dia.</t>
  </si>
  <si>
    <t>Identifica melhorias no trabalho, adapta-se com autonomia e contribui com soluções práticas.</t>
  </si>
  <si>
    <t>Propõe soluções inovadoras, antecipa riscos e adapta processos com pensamento crítico.</t>
  </si>
  <si>
    <t>Estimula inovação no time, conduz mudanças e desenvolve pensamento crítico coletivo.</t>
  </si>
  <si>
    <t>Influencia decisões estratégicas e lidera transformações organizacionais com visão inovadora.</t>
  </si>
  <si>
    <t>Colaboração, comunicação e trabalho em equipa</t>
  </si>
  <si>
    <t>Colabora com a equipa, comunica-se com respeito e segue orientações.</t>
  </si>
  <si>
    <t>Colabora de forma consistente e mantém comunicação clara no dia a dia</t>
  </si>
  <si>
    <t>Colabora ativamente, compartilha conhecimento e apoia colegas.</t>
  </si>
  <si>
    <t>Atua como referência, promove cooperação e alinhamento entre pares.</t>
  </si>
  <si>
    <t>Desenvolve o time, facilita diálogos e fortalece a confiança da equipa</t>
  </si>
  <si>
    <t>Cria ambientes colaborativos e influencia a cultura de trabalho em equipa.</t>
  </si>
  <si>
    <t>Adaptabilidade e gestão equilibrada do trabalho</t>
  </si>
  <si>
    <t>Adapta-se à rotina, respeita acordos e aprende a gerir prioridades.</t>
  </si>
  <si>
    <t>Ajusta-se a mudanças e organiza o trabalho com orientação.</t>
  </si>
  <si>
    <t>Gerencia demandas com autonomia e mantém equilíbrio nas entregas</t>
  </si>
  <si>
    <t>Ajusta prioridades, apoia o time e mantém consistência nas entregas</t>
  </si>
  <si>
    <t>Promove flexibilidade saudável e equilibra demandas e pessoas.</t>
  </si>
  <si>
    <t>Define diretrizes que sustentam ambientes flexíveis e sustentáveis.</t>
  </si>
  <si>
    <t>Ética, respeito e responsabilidade profissional</t>
  </si>
  <si>
    <t>Atua com respeito, segue normas e recebe orientações.</t>
  </si>
  <si>
    <t>Demonstra postura ética e responsabilidade no dia a dia.</t>
  </si>
  <si>
    <t>Mantém conduta ética consistente e respeitosa</t>
  </si>
  <si>
    <t>Atua como exemplo de ética e respeito, mesmo sob pressão</t>
  </si>
  <si>
    <t>Garante práticas éticas no time e trata conflitos com maturidade.</t>
  </si>
  <si>
    <t>É referência ética e influencia decisões críticas da organização.</t>
  </si>
  <si>
    <t>Desenvolvimento, aprendizado e apoio ao crescimento</t>
  </si>
  <si>
    <t>Demonstra abertura ao aprendizado e busca evoluir continuamente.</t>
  </si>
  <si>
    <t>Aplica feedbacks e investe no próprio desenvolvimento.</t>
  </si>
  <si>
    <t>Busca desenvolvimento contínuo e compartilha aprendizados.</t>
  </si>
  <si>
    <t>Apoia o desenvolvimento de colegas e compartilha conhecimento.</t>
  </si>
  <si>
    <t>Desenvolve pessoas, dá feedbacks estruturados e forma talentos</t>
  </si>
  <si>
    <t>Promove cultura de desenvolvimento e crescimento sustentável.</t>
  </si>
  <si>
    <t>COMPETENCIA</t>
  </si>
  <si>
    <t>Inovação e adaptação</t>
  </si>
  <si>
    <t>Comportamento Esperado</t>
  </si>
  <si>
    <t>AVALIAÇÃO</t>
  </si>
  <si>
    <t>Flexibilidade</t>
  </si>
  <si>
    <t>Integridade e Respeito</t>
  </si>
  <si>
    <t>Valorização das Pessoas</t>
  </si>
  <si>
    <t>Colaboração</t>
  </si>
  <si>
    <t>Adaptabilidade</t>
  </si>
  <si>
    <t>Ética profissional</t>
  </si>
  <si>
    <t>Desenvolvimento</t>
  </si>
  <si>
    <t>Nível</t>
  </si>
  <si>
    <t>Espirito de equipa</t>
  </si>
  <si>
    <t>Competência</t>
  </si>
  <si>
    <t>Principais entregas e resultados do período</t>
  </si>
  <si>
    <t>Principais desafios enfrentados</t>
  </si>
  <si>
    <t>Controle</t>
  </si>
  <si>
    <t>A AVALIAÇÃO DE DESEMPENHO</t>
  </si>
  <si>
    <t>COLABORADOR</t>
  </si>
  <si>
    <t>GESTOR</t>
  </si>
  <si>
    <t>OS NOSSOS VALORES</t>
  </si>
  <si>
    <t>DESCRIÇÃO</t>
  </si>
  <si>
    <t>INDIVIDUAL</t>
  </si>
  <si>
    <t>Este espaço destina-se a recolher a tua perceção sobre a forma de acompanhamento e colaboração no dia a dia, com foco na melhoria contínua.</t>
  </si>
  <si>
    <t>Espaço dedicado à reflexão sobre evolução, interesses e necessidades para o próximo ciclo.</t>
  </si>
  <si>
    <t>Espirito de Equipa</t>
  </si>
  <si>
    <t>Objetivos e KPIs definidos no início do ciclo, alinhados com os objetivos da Equipa e da Tlantic e acordados entre colaborador e chefia.</t>
  </si>
  <si>
    <t>Avaliação das competências comportamentais alinhadas com os valores da Tlantic.</t>
  </si>
  <si>
    <t>Avaliação de Desempenho e Competências</t>
  </si>
  <si>
    <t>As prioridades e expectativas do meu trabalho são claras.</t>
  </si>
  <si>
    <t>Sinto que tenho o apoio necessário para desempenhar bem as minhas funções.</t>
  </si>
  <si>
    <t>Tenho autonomia adequada para executar o meu trabalho.</t>
  </si>
  <si>
    <t>Recebo feedback útil para melhorar o meu desempenho.</t>
  </si>
  <si>
    <t>O que poderia ser feito para melhorar o teu dia a dia ou a colaboração com a liderança?</t>
  </si>
  <si>
    <t>ETAPA COLABORADOR</t>
  </si>
  <si>
    <t>ETAPA LIDERANÇA</t>
  </si>
  <si>
    <t>Cumprimento dos SLAs dos Clientes XX nos registos encerrados</t>
  </si>
  <si>
    <t>Participar de reuniões técnicas, contribuindo com sugestões, apontamentos críticos e colaborando na tomada de decisões técnicas.</t>
  </si>
  <si>
    <t>Autonomia Técnica e Desenvolvimento da Equipa - Desenvolvimento de tarefas end-to-end; Suporte a colegas quando necessário</t>
  </si>
  <si>
    <t>Melhoria de Produto e Processos - Sugestões e implementações de melhorias locais</t>
  </si>
  <si>
    <t>Relatórios mensais: garantir que todos os relatórios estão prontos até ao dia x de cada mês</t>
  </si>
  <si>
    <t>Índice de satisfação do cliente - avaliação de entrega de projetos</t>
  </si>
  <si>
    <t>Ampliar o nível de autonomia na execução das atividades, assumindo maior responsabilidade pelas entregas e decisões técnicas compatíveis com a função</t>
  </si>
  <si>
    <t>Adquirir e reforçar conhecimentos técnicos relacionados aos temas e tecnologias trabalhados na função.</t>
  </si>
  <si>
    <t>Fortalecer a cooperação com a equipa e áreas parceiras, contribuindo para o trabalho coletivo e compartilhamento de conhecimento.</t>
  </si>
  <si>
    <t>Contribuir com sugestões de melhoria para produtos, processos ou práticas da equipa, promovendo eficiência e qualidade</t>
  </si>
  <si>
    <t>Aumentar a contribuição para iniciativas técnicas ou projetos internos, agregando valor às entregas e ao funcionamento da equipa</t>
  </si>
  <si>
    <t>Desenvolver competências de liderança técnica ou operacional, apoiando colegas juniores e contribuindo para a organização das atividades.</t>
  </si>
  <si>
    <r>
      <t xml:space="preserve">A </t>
    </r>
    <r>
      <rPr>
        <b/>
        <sz val="14"/>
        <color rgb="FF002060"/>
        <rFont val="Montserrat"/>
      </rPr>
      <t>Avaliação de Desempenho da Tlantic</t>
    </r>
    <r>
      <rPr>
        <sz val="14"/>
        <color rgb="FF002060"/>
        <rFont val="Montserrat"/>
      </rPr>
      <t xml:space="preserve"> tem como objetivo </t>
    </r>
    <r>
      <rPr>
        <b/>
        <sz val="14"/>
        <color rgb="FF002060"/>
        <rFont val="Montserrat"/>
      </rPr>
      <t>promover uma visão equilibrada da atuação profissional</t>
    </r>
    <r>
      <rPr>
        <sz val="14"/>
        <color rgb="FF002060"/>
        <rFont val="Montserrat"/>
      </rPr>
      <t xml:space="preserve">, considerando </t>
    </r>
    <r>
      <rPr>
        <b/>
        <sz val="14"/>
        <color rgb="FF002060"/>
        <rFont val="Montserrat"/>
      </rPr>
      <t>resultados alcançados</t>
    </r>
    <r>
      <rPr>
        <sz val="14"/>
        <color rgb="FF002060"/>
        <rFont val="Montserrat"/>
      </rPr>
      <t xml:space="preserve"> e</t>
    </r>
    <r>
      <rPr>
        <b/>
        <sz val="14"/>
        <color rgb="FF002060"/>
        <rFont val="Montserrat"/>
      </rPr>
      <t xml:space="preserve"> competências comportamentais</t>
    </r>
    <r>
      <rPr>
        <sz val="14"/>
        <color rgb="FF002060"/>
        <rFont val="Montserrat"/>
      </rPr>
      <t>, alinhadas aos nossos valores. 
Este processo procura fortalecer o alinhamento de expectativas, apoiar conversas de feedback e contribuir para o desenvolvimento contínuo e a evolução profissional.
Conduza a avaliação com transparência, responsabilidade e foco no crescimento.</t>
    </r>
  </si>
  <si>
    <t>% 
Ajustado</t>
  </si>
  <si>
    <t>% 
Realização</t>
  </si>
  <si>
    <r>
      <t xml:space="preserve">Sugestão de Iniciativa ou Formação </t>
    </r>
    <r>
      <rPr>
        <sz val="14"/>
        <color rgb="FF002060"/>
        <rFont val="Montserrat"/>
      </rPr>
      <t>(indicar link)</t>
    </r>
  </si>
  <si>
    <t>#</t>
  </si>
  <si>
    <t>Gestão das sprints de desenvolvimento (planeamento, controlo e fecho) - nº entregas ontime/ nº total entregas</t>
  </si>
  <si>
    <t>Número projetos implementados de integração "plug-and-play"</t>
  </si>
  <si>
    <t>Número de sprints entregues no produto XXX</t>
  </si>
  <si>
    <t>1- % de bugs encontrados pelo QA antes de produção ponderados por severidade</t>
  </si>
  <si>
    <t>Desenvolvimento das entregas do PL/SQL de acordo com o planeamento das sprints / total de entregas</t>
  </si>
  <si>
    <t>Nº Desenvolimentos entregues sem bugs críticos (identificados em QA) / Nº Total Desenvolimentos entregues</t>
  </si>
  <si>
    <t>Nº Desenvolimentos entregues sem bugs críticos (identificados em Prod) / Nº Total Desenvolimentos entregues</t>
  </si>
  <si>
    <t>Pontos a desenvolver</t>
  </si>
  <si>
    <r>
      <t xml:space="preserve">Este espaço destina-se a expor a reflexão sobre o ciclo anterior, incluindo principais entregas, sucessos e pontos de melhoria, na perspetiva do </t>
    </r>
    <r>
      <rPr>
        <b/>
        <u/>
        <sz val="14"/>
        <color theme="3"/>
        <rFont val="Montserrat"/>
      </rPr>
      <t>colaborador</t>
    </r>
    <r>
      <rPr>
        <b/>
        <sz val="14"/>
        <color theme="3"/>
        <rFont val="Montserrat"/>
      </rPr>
      <t xml:space="preserve"> e do </t>
    </r>
    <r>
      <rPr>
        <b/>
        <u/>
        <sz val="14"/>
        <color theme="3"/>
        <rFont val="Montserrat"/>
      </rPr>
      <t>gestor</t>
    </r>
    <r>
      <rPr>
        <b/>
        <sz val="14"/>
        <color theme="3"/>
        <rFont val="Montserrat"/>
      </rPr>
      <t>.</t>
    </r>
  </si>
  <si>
    <t>1. IDENTIFICAÇÃO DO COLABORADOR</t>
  </si>
  <si>
    <t>2. O CICLO ANTERIOR: REFLEXÃO</t>
  </si>
  <si>
    <t>3. COMPETENCIAS COMPORTAMENTAIS</t>
  </si>
  <si>
    <t>5. REFLEXÃO SOBRE A LIDERANÇA</t>
  </si>
  <si>
    <t>6. O PRÓXIMO CICLO</t>
  </si>
  <si>
    <t>GUIÃO DE PREENCHIMENTO</t>
  </si>
  <si>
    <t>Visão geral do processo</t>
  </si>
  <si>
    <t>Como preencher o ficheiro</t>
  </si>
  <si>
    <t>Secção 1 – Identificação do Colaborador</t>
  </si>
  <si>
    <t>Responsável: Gestor</t>
  </si>
  <si>
    <t>Secção 2 – Ciclo Anterior: reflexão</t>
  </si>
  <si>
    <t>Parte A – Colaborador</t>
  </si>
  <si>
    <t>Responsável: Colaborador</t>
  </si>
  <si>
    <t>Exemplo adequado: “Concluí o projeto X dentro do prazo, com melhoria de 15% no tempo de execução.”</t>
  </si>
  <si>
    <t>Evitar: “Trabalhei bem durante o ano.”</t>
  </si>
  <si>
    <t>Parte B – Gestor</t>
  </si>
  <si>
    <t>Secção 3 – Competências Comportamentais</t>
  </si>
  <si>
    <t>Secção 4 – Objetivos e KPIS 2026: resultados</t>
  </si>
  <si>
    <t>Responsável: Colaborador (proposta inicial) + Gestor (validação final)</t>
  </si>
  <si>
    <t>Exemplo: “Reduzir o tempo médio de resposta ao cliente em 20% até dezembro.”</t>
  </si>
  <si>
    <t>Secção 5 – Reflexão sobre a Liderança</t>
  </si>
  <si>
    <t xml:space="preserve">Responsável: Colaborador </t>
  </si>
  <si>
    <t>Checklist final – Colaborador</t>
  </si>
  <si>
    <t>Checklist final – Gestor</t>
  </si>
  <si>
    <t>Dúvidas</t>
  </si>
  <si>
    <t>As demais secções do ficheiro serão preenchidas ao final do ciclo avaliativo</t>
  </si>
  <si>
    <t>O Preenchimento desta secção será realizado ao final do ciclo avaliativo</t>
  </si>
  <si>
    <t>Em caso de dúvidas, entre em contato com a área de People.</t>
  </si>
  <si>
    <t>Secção 6 - O próximo ciclo</t>
  </si>
  <si>
    <t>• Preenchimento realizado ao final do ciclo avaliativo</t>
  </si>
  <si>
    <t>• Avaliação do desempenho global do colaborador</t>
  </si>
  <si>
    <t>Secção 7 - Objetivos e KPIS  para 2027: definição</t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</si>
  <si>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Confirmar os dados do colaborador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</si>
  <si>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Preencher o campo "Avaliador" com o seu nome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</si>
  <si>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 xml:space="preserve">Preencher o campo "Data da avaliação" 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</si>
  <si>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Destacar principais entregas e resultados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</si>
  <si>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Trazer exemplos concretos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</si>
  <si>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Ser objetivo e transparente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</si>
  <si>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Avaliar o desempenho do colaborador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</si>
  <si>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Complementar ou ajustar percepções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</si>
  <si>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Trazer visão crítica e construtiva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</si>
  <si>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Preenchimento realizado ao final do ciclo avaliativo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</si>
  <si>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Definição dos KPIS para o ciclo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</si>
  <si>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Os objetivos devem refletir as principais responsabilidades da função e contribuir para os resultados da área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</si>
  <si>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Mensuráveis sempre que possível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</si>
  <si>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Alinhados com as atividades da função e da área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</si>
  <si>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☑ Preenchi todas as secções solicitadas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</si>
  <si>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☑ Utilizei exemplos claros e objetivos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</si>
  <si>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☑ Revisei minhas respostas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</si>
  <si>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☑ Propus objetivos coerentes com minha função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</si>
  <si>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☑ Revisei a avaliação do colaborador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</si>
  <si>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☑ Agendei a reunião individual (1:1)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</si>
  <si>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☑ Alinhei e validei os objetivos/KPIS</t>
    </r>
  </si>
  <si>
    <t>• Definição preliminar dos objetivos e KPIs para o próximo ciclo</t>
  </si>
  <si>
    <t>• Deve considerar os resultados alcançados no ciclo atual e os pontos de desenvolvimento identificados</t>
  </si>
  <si>
    <t>• Alinhamento com as prioridades da área e da empresa para o próximo ano</t>
  </si>
  <si>
    <t>• Os objetivos devem ser claros, mensuráveis e realistas</t>
  </si>
  <si>
    <t>Na primeira etapa, o foco está exclusivamente na definição dos objetivos e KPIs para 2026 (Secção 4)</t>
  </si>
  <si>
    <r>
      <t>·</t>
    </r>
    <r>
      <rPr>
        <sz val="7"/>
        <color theme="3"/>
        <rFont val="Montserrat"/>
      </rPr>
      <t xml:space="preserve">    </t>
    </r>
    <r>
      <rPr>
        <sz val="11"/>
        <color theme="3"/>
        <rFont val="Montserrat"/>
      </rPr>
      <t>Preenchimento realizado ao final do ciclo avaliativo</t>
    </r>
  </si>
  <si>
    <r>
      <t>·</t>
    </r>
    <r>
      <rPr>
        <sz val="7"/>
        <color theme="3"/>
        <rFont val="Montserrat"/>
      </rPr>
      <t xml:space="preserve">      </t>
    </r>
    <r>
      <rPr>
        <sz val="11"/>
        <color theme="3"/>
        <rFont val="Montserrat"/>
      </rPr>
      <t>Colaborador propõe os objetivos e KPIs</t>
    </r>
  </si>
  <si>
    <r>
      <t>·</t>
    </r>
    <r>
      <rPr>
        <sz val="7"/>
        <color theme="3"/>
        <rFont val="Montserrat"/>
      </rPr>
      <t xml:space="preserve">      </t>
    </r>
    <r>
      <rPr>
        <sz val="11"/>
        <color theme="3"/>
        <rFont val="Montserrat"/>
      </rPr>
      <t>Gestor revisa, ajusta e valida em conjunto os KPIS</t>
    </r>
  </si>
  <si>
    <r>
      <t>·</t>
    </r>
    <r>
      <rPr>
        <sz val="7"/>
        <color theme="3"/>
        <rFont val="Montserrat"/>
      </rPr>
      <t>      </t>
    </r>
    <r>
      <rPr>
        <sz val="11"/>
        <color theme="3"/>
        <rFont val="Montserrat"/>
      </rPr>
      <t>Realização de reunião individual (1:1) para alinhamento</t>
    </r>
  </si>
  <si>
    <r>
      <t xml:space="preserve">O processo de </t>
    </r>
    <r>
      <rPr>
        <b/>
        <sz val="11"/>
        <color theme="3"/>
        <rFont val="Montserrat"/>
      </rPr>
      <t>Avaliação de Desempenho</t>
    </r>
    <r>
      <rPr>
        <sz val="11"/>
        <color theme="3"/>
        <rFont val="Montserrat"/>
      </rPr>
      <t xml:space="preserve"> foi estruturado em etapas, com o objetivo de garantir maior foco em cada momento, promover discussões mais qualificadas e assegurar um melhor acompanhamento ao longo do ano.
Mais do que um preenchimento formal, este processo deve ser encarado como um momento de diálogo, alinhamento e desenvolvimento entre colaborador e gestor.</t>
    </r>
  </si>
  <si>
    <t>·     Avaliar as competências comportamentais do colaborador, considerando sua forma de atuação no dia a dia, colaboração com a equipe e alinhamento com os valores da empresa</t>
  </si>
  <si>
    <t>·  Promover um espaço estruturado de feedback sobre a liderança, incentivando uma cultura de diálogo, confiança e desenvolvimento contínuo</t>
  </si>
  <si>
    <t>• Identificação das necessidades de desenvolvimento e formação</t>
  </si>
  <si>
    <t>• Avaliação de possíveis oportunidades de evolução ou mudança de função</t>
  </si>
  <si>
    <t>• Definição de direcionamentos para o desenvolvimento do colaborador no próximo ciclo</t>
  </si>
  <si>
    <t>Análise e apuramento dos KPIs do ciclo, com base em dados e resultados obtidos.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</si>
</sst>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-* #,##0.00\ _€_-;\-* #,##0.00\ _€_-;_-* &quot;-&quot;??\ _€_-;_-@_-"/>
    <numFmt numFmtId="166" formatCode="_(&quot;R$ &quot;* #,##0.00_);_(&quot;R$ &quot;* \(#,##0.00\);_(&quot;R$ &quot;* &quot;-&quot;??_);_(@_)"/>
    <numFmt numFmtId="167" formatCode="_ * #,##0.00_)&quot;€&quot;_ ;_ * \(#,##0.00\)&quot;€&quot;_ ;_ * &quot;-&quot;??_)&quot;€&quot;_ ;_ @_ "/>
    <numFmt numFmtId="168" formatCode="0.0%"/>
    <numFmt numFmtId="169" formatCode="#,##0.0"/>
    <numFmt numFmtId="170" formatCode="_-* #,##0\ _€_-;\-* #,##0\ _€_-;_-* &quot;-&quot;??\ _€_-;_-@_-"/>
  </numFmts>
  <fonts count="5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color indexed="8"/>
      <name val="Calibri"/>
      <family val="2"/>
    </font>
    <font>
      <sz val="14"/>
      <name val="Montserrat"/>
    </font>
    <font>
      <b/>
      <sz val="14"/>
      <name val="Montserrat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indexed="52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indexed="56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indexed="5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  <scheme val="maj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4"/>
      <color theme="0"/>
      <name val="Montserrat"/>
    </font>
    <font>
      <b/>
      <sz val="14"/>
      <color theme="1"/>
      <name val="Montserrat"/>
    </font>
    <font>
      <sz val="14"/>
      <color theme="1"/>
      <name val="Montserrat"/>
    </font>
    <font>
      <b/>
      <sz val="14"/>
      <color theme="0"/>
      <name val="Montserrat"/>
    </font>
    <font>
      <b/>
      <sz val="18"/>
      <color theme="0"/>
      <name val="Montserrat"/>
    </font>
    <font>
      <b/>
      <sz val="22"/>
      <color theme="0"/>
      <name val="Montserrat"/>
    </font>
    <font>
      <sz val="10"/>
      <color theme="1"/>
      <name val="Calibri"/>
      <family val="2"/>
      <scheme val="minor"/>
    </font>
    <font>
      <b/>
      <sz val="14"/>
      <color indexed="81"/>
      <name val="Segoe UI"/>
      <family val="2"/>
    </font>
    <font>
      <b/>
      <sz val="18"/>
      <color rgb="FFFFFF00"/>
      <name val="Montserrat"/>
    </font>
    <font>
      <b/>
      <sz val="14"/>
      <color rgb="FFFFFF00"/>
      <name val="Montserrat"/>
    </font>
    <font>
      <b/>
      <sz val="14"/>
      <color rgb="FF002060"/>
      <name val="Montserrat"/>
    </font>
    <font>
      <sz val="14"/>
      <color rgb="FF002060"/>
      <name val="Montserrat"/>
    </font>
    <font>
      <sz val="11"/>
      <color rgb="FF002060"/>
      <name val="Montserrat"/>
    </font>
    <font>
      <sz val="12"/>
      <color rgb="FF002060"/>
      <name val="Montserrat"/>
    </font>
    <font>
      <sz val="11"/>
      <color theme="0"/>
      <name val="Montserrat"/>
    </font>
    <font>
      <b/>
      <i/>
      <sz val="12"/>
      <color rgb="FF002060"/>
      <name val="Montserrat"/>
    </font>
    <font>
      <b/>
      <sz val="12"/>
      <color rgb="FF002060"/>
      <name val="Montserrat"/>
    </font>
    <font>
      <b/>
      <sz val="11"/>
      <color rgb="FF002060"/>
      <name val="Montserrat"/>
    </font>
    <font>
      <sz val="16"/>
      <color rgb="FF002060"/>
      <name val="Montserrat"/>
    </font>
    <font>
      <b/>
      <sz val="14"/>
      <color theme="3"/>
      <name val="Montserrat"/>
    </font>
    <font>
      <sz val="11"/>
      <color theme="1"/>
      <name val="Montserrat"/>
    </font>
    <font>
      <sz val="18"/>
      <color rgb="FF002060"/>
      <name val="Montserrat"/>
    </font>
    <font>
      <b/>
      <u/>
      <sz val="14"/>
      <color theme="3"/>
      <name val="Montserrat"/>
    </font>
    <font>
      <b/>
      <sz val="11"/>
      <color theme="3"/>
      <name val="Montserrat"/>
    </font>
    <font>
      <sz val="11"/>
      <color theme="3"/>
      <name val="Montserrat"/>
    </font>
    <font>
      <sz val="7"/>
      <color theme="3"/>
      <name val="Montserrat"/>
    </font>
    <font>
      <sz val="14"/>
      <color theme="3"/>
      <name val="Montserrat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27"/>
        <bgColor indexed="27"/>
      </patternFill>
    </fill>
    <fill>
      <patternFill patternType="solid">
        <fgColor indexed="31"/>
        <bgColor indexed="31"/>
      </patternFill>
    </fill>
    <fill>
      <patternFill patternType="solid">
        <fgColor indexed="22"/>
        <bgColor indexed="22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44"/>
        <bgColor indexed="44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19365F"/>
        <bgColor indexed="64"/>
      </patternFill>
    </fill>
    <fill>
      <patternFill patternType="solid">
        <fgColor rgb="FF299D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8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/>
      <top style="hair">
        <color theme="1"/>
      </top>
      <bottom style="hair">
        <color indexed="64"/>
      </bottom>
      <diagonal/>
    </border>
    <border>
      <left/>
      <right style="hair">
        <color indexed="64"/>
      </right>
      <top style="hair">
        <color theme="1"/>
      </top>
      <bottom style="hair">
        <color indexed="64"/>
      </bottom>
      <diagonal/>
    </border>
    <border>
      <left style="hair">
        <color theme="1"/>
      </left>
      <right/>
      <top style="hair">
        <color theme="1"/>
      </top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/>
      <top style="hair">
        <color theme="0" tint="-0.499984740745262"/>
      </top>
      <bottom style="hair">
        <color indexed="64"/>
      </bottom>
      <diagonal/>
    </border>
    <border>
      <left/>
      <right/>
      <top style="hair">
        <color theme="0" tint="-0.499984740745262"/>
      </top>
      <bottom style="hair">
        <color theme="1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299DF3"/>
      </left>
      <right/>
      <top style="thin">
        <color rgb="FF299DF3"/>
      </top>
      <bottom/>
      <diagonal/>
    </border>
    <border>
      <left/>
      <right/>
      <top style="thin">
        <color rgb="FF299DF3"/>
      </top>
      <bottom/>
      <diagonal/>
    </border>
    <border>
      <left/>
      <right style="thin">
        <color rgb="FF299DF3"/>
      </right>
      <top style="thin">
        <color rgb="FF299DF3"/>
      </top>
      <bottom/>
      <diagonal/>
    </border>
    <border>
      <left style="thin">
        <color rgb="FF299DF3"/>
      </left>
      <right/>
      <top/>
      <bottom/>
      <diagonal/>
    </border>
    <border>
      <left/>
      <right style="thin">
        <color rgb="FF299DF3"/>
      </right>
      <top/>
      <bottom/>
      <diagonal/>
    </border>
    <border>
      <left style="thin">
        <color rgb="FF299DF3"/>
      </left>
      <right/>
      <top/>
      <bottom style="thin">
        <color rgb="FF299DF3"/>
      </bottom>
      <diagonal/>
    </border>
    <border>
      <left/>
      <right/>
      <top/>
      <bottom style="thin">
        <color rgb="FF299DF3"/>
      </bottom>
      <diagonal/>
    </border>
    <border>
      <left/>
      <right style="thin">
        <color rgb="FF299DF3"/>
      </right>
      <top/>
      <bottom style="thin">
        <color rgb="FF299DF3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1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indexed="64"/>
      </bottom>
      <diagonal/>
    </border>
    <border>
      <left style="hair">
        <color theme="0" tint="-0.499984740745262"/>
      </left>
      <right/>
      <top style="hair">
        <color theme="1"/>
      </top>
      <bottom style="hair">
        <color theme="0" tint="-0.499984740745262"/>
      </bottom>
      <diagonal/>
    </border>
    <border>
      <left/>
      <right/>
      <top style="hair">
        <color theme="1"/>
      </top>
      <bottom style="hair">
        <color theme="0" tint="-0.499984740745262"/>
      </bottom>
      <diagonal/>
    </border>
    <border>
      <left/>
      <right style="hair">
        <color indexed="64"/>
      </right>
      <top style="hair">
        <color theme="1"/>
      </top>
      <bottom style="hair">
        <color theme="0" tint="-0.499984740745262"/>
      </bottom>
      <diagonal/>
    </border>
    <border>
      <left style="hair">
        <color indexed="64"/>
      </left>
      <right/>
      <top style="hair">
        <color indexed="64"/>
      </top>
      <bottom style="hair">
        <color theme="0" tint="-0.499984740745262"/>
      </bottom>
      <diagonal/>
    </border>
    <border>
      <left/>
      <right/>
      <top style="hair">
        <color indexed="64"/>
      </top>
      <bottom style="hair">
        <color theme="0" tint="-0.499984740745262"/>
      </bottom>
      <diagonal/>
    </border>
    <border>
      <left/>
      <right style="hair">
        <color indexed="64"/>
      </right>
      <top style="hair">
        <color indexed="64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indexed="64"/>
      </top>
      <bottom style="hair">
        <color theme="0" tint="-0.49998474074526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/>
      <top/>
      <bottom style="hair">
        <color indexed="64"/>
      </bottom>
      <diagonal/>
    </border>
    <border>
      <left style="thin">
        <color rgb="FF299DF3"/>
      </left>
      <right style="hair">
        <color theme="1" tint="0.499984740745262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theme="1"/>
      </bottom>
      <diagonal/>
    </border>
    <border>
      <left/>
      <right/>
      <top style="hair">
        <color indexed="64"/>
      </top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 style="hair">
        <color indexed="64"/>
      </bottom>
      <diagonal/>
    </border>
    <border>
      <left style="thin">
        <color rgb="FF299DF3"/>
      </left>
      <right/>
      <top style="thin">
        <color rgb="FF299DF3"/>
      </top>
      <bottom style="thin">
        <color rgb="FF299DF3"/>
      </bottom>
      <diagonal/>
    </border>
    <border>
      <left/>
      <right/>
      <top style="thin">
        <color rgb="FF299DF3"/>
      </top>
      <bottom style="thin">
        <color rgb="FF299DF3"/>
      </bottom>
      <diagonal/>
    </border>
    <border>
      <left/>
      <right style="thin">
        <color rgb="FF299DF3"/>
      </right>
      <top style="thin">
        <color rgb="FF299DF3"/>
      </top>
      <bottom style="thin">
        <color rgb="FF299DF3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theme="1"/>
      </left>
      <right/>
      <top/>
      <bottom/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theme="1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0" tint="-4.9989318521683403E-2"/>
      </bottom>
      <diagonal/>
    </border>
    <border>
      <left/>
      <right/>
      <top style="hair">
        <color theme="1" tint="0.499984740745262"/>
      </top>
      <bottom style="hair">
        <color theme="0" tint="-4.9989318521683403E-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0" tint="-4.9989318521683403E-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67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5" fillId="18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4" fillId="20" borderId="0" applyNumberFormat="0" applyBorder="0" applyAlignment="0" applyProtection="0"/>
    <xf numFmtId="0" fontId="4" fillId="18" borderId="0" applyNumberFormat="0" applyBorder="0" applyAlignment="0" applyProtection="0"/>
    <xf numFmtId="0" fontId="5" fillId="21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3" borderId="0" applyNumberFormat="0" applyBorder="0" applyAlignment="0" applyProtection="0"/>
    <xf numFmtId="0" fontId="5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5" fillId="18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5" fillId="24" borderId="0" applyNumberFormat="0" applyBorder="0" applyAlignment="0" applyProtection="0"/>
    <xf numFmtId="0" fontId="4" fillId="20" borderId="0" applyNumberFormat="0" applyBorder="0" applyAlignment="0" applyProtection="0"/>
    <xf numFmtId="0" fontId="4" fillId="26" borderId="0" applyNumberFormat="0" applyBorder="0" applyAlignment="0" applyProtection="0"/>
    <xf numFmtId="0" fontId="5" fillId="26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1" fillId="3" borderId="0" applyNumberFormat="0" applyBorder="0" applyAlignment="0" applyProtection="0"/>
    <xf numFmtId="0" fontId="13" fillId="6" borderId="16" applyNumberFormat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167" fontId="1" fillId="0" borderId="0" applyFont="0" applyFill="0" applyBorder="0" applyAlignment="0" applyProtection="0"/>
    <xf numFmtId="0" fontId="12" fillId="4" borderId="0" applyNumberFormat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4" fillId="6" borderId="16" applyNumberFormat="0" applyAlignment="0" applyProtection="0"/>
    <xf numFmtId="0" fontId="18" fillId="0" borderId="4" applyNumberFormat="0" applyFill="0" applyAlignment="0" applyProtection="0"/>
    <xf numFmtId="166" fontId="1" fillId="0" borderId="0" applyFont="0" applyFill="0" applyBorder="0" applyAlignment="0" applyProtection="0"/>
    <xf numFmtId="0" fontId="19" fillId="2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30" borderId="17" applyNumberFormat="0" applyFont="0" applyAlignment="0" applyProtection="0"/>
    <xf numFmtId="0" fontId="9" fillId="30" borderId="17" applyNumberFormat="0" applyFont="0" applyAlignment="0" applyProtection="0"/>
    <xf numFmtId="0" fontId="4" fillId="30" borderId="17" applyNumberFormat="0" applyFont="0" applyAlignment="0" applyProtection="0"/>
    <xf numFmtId="0" fontId="20" fillId="6" borderId="18" applyNumberFormat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9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23" fillId="0" borderId="5" applyNumberFormat="0" applyFill="0" applyAlignment="0" applyProtection="0"/>
    <xf numFmtId="164" fontId="9" fillId="0" borderId="0" applyFont="0" applyFill="0" applyBorder="0" applyAlignment="0" applyProtection="0"/>
  </cellStyleXfs>
  <cellXfs count="230">
    <xf numFmtId="0" fontId="0" fillId="0" borderId="0" xfId="0"/>
    <xf numFmtId="0" fontId="30" fillId="0" borderId="0" xfId="0" applyFont="1" applyAlignment="1">
      <alignment vertical="center"/>
    </xf>
    <xf numFmtId="0" fontId="30" fillId="0" borderId="0" xfId="0" applyFont="1" applyAlignment="1">
      <alignment vertical="center" wrapText="1"/>
    </xf>
    <xf numFmtId="9" fontId="7" fillId="31" borderId="44" xfId="133" applyFont="1" applyFill="1" applyBorder="1" applyAlignment="1" applyProtection="1">
      <alignment horizontal="center" vertical="center" wrapText="1" readingOrder="1"/>
    </xf>
    <xf numFmtId="168" fontId="7" fillId="0" borderId="44" xfId="133" applyNumberFormat="1" applyFont="1" applyFill="1" applyBorder="1" applyAlignment="1" applyProtection="1">
      <alignment horizontal="center" vertical="center"/>
    </xf>
    <xf numFmtId="9" fontId="7" fillId="0" borderId="44" xfId="133" applyFont="1" applyFill="1" applyBorder="1" applyAlignment="1" applyProtection="1">
      <alignment horizontal="center" vertical="center" wrapText="1" readingOrder="1"/>
    </xf>
    <xf numFmtId="9" fontId="7" fillId="0" borderId="44" xfId="133" applyFont="1" applyFill="1" applyBorder="1" applyAlignment="1" applyProtection="1">
      <alignment vertical="center" wrapText="1"/>
    </xf>
    <xf numFmtId="0" fontId="35" fillId="0" borderId="22" xfId="0" applyFont="1" applyBorder="1" applyAlignment="1" applyProtection="1">
      <alignment horizontal="left" vertical="center" wrapText="1" indent="3"/>
      <protection locked="0"/>
    </xf>
    <xf numFmtId="0" fontId="35" fillId="0" borderId="22" xfId="0" applyFont="1" applyBorder="1" applyAlignment="1" applyProtection="1">
      <alignment horizontal="center" vertical="center" wrapText="1"/>
      <protection locked="0"/>
    </xf>
    <xf numFmtId="9" fontId="35" fillId="0" borderId="22" xfId="133" applyFont="1" applyBorder="1" applyAlignment="1" applyProtection="1">
      <alignment horizontal="center" vertical="center"/>
      <protection locked="0"/>
    </xf>
    <xf numFmtId="0" fontId="35" fillId="0" borderId="22" xfId="132" applyNumberFormat="1" applyFont="1" applyBorder="1" applyAlignment="1" applyProtection="1">
      <alignment horizontal="center" vertical="center"/>
      <protection locked="0"/>
    </xf>
    <xf numFmtId="0" fontId="35" fillId="0" borderId="22" xfId="0" applyFont="1" applyBorder="1" applyAlignment="1" applyProtection="1">
      <alignment horizontal="center" vertical="center"/>
      <protection locked="0"/>
    </xf>
    <xf numFmtId="0" fontId="34" fillId="0" borderId="22" xfId="0" applyFont="1" applyBorder="1" applyAlignment="1" applyProtection="1">
      <alignment horizontal="left" vertical="center" wrapText="1" indent="3"/>
      <protection locked="0"/>
    </xf>
    <xf numFmtId="0" fontId="35" fillId="0" borderId="22" xfId="62" applyNumberFormat="1" applyFont="1" applyBorder="1" applyAlignment="1" applyProtection="1">
      <alignment horizontal="center" vertical="center"/>
      <protection locked="0"/>
    </xf>
    <xf numFmtId="168" fontId="35" fillId="0" borderId="22" xfId="133" applyNumberFormat="1" applyFont="1" applyBorder="1" applyAlignment="1" applyProtection="1">
      <alignment horizontal="center" vertical="center"/>
    </xf>
    <xf numFmtId="9" fontId="35" fillId="31" borderId="7" xfId="133" applyFont="1" applyFill="1" applyBorder="1" applyAlignment="1" applyProtection="1">
      <alignment horizontal="center" vertical="center" wrapText="1" readingOrder="1"/>
    </xf>
    <xf numFmtId="0" fontId="35" fillId="0" borderId="22" xfId="62" applyNumberFormat="1" applyFont="1" applyBorder="1" applyAlignment="1" applyProtection="1">
      <alignment horizontal="right" vertical="center"/>
      <protection locked="0"/>
    </xf>
    <xf numFmtId="9" fontId="39" fillId="34" borderId="24" xfId="133" applyFont="1" applyFill="1" applyBorder="1" applyAlignment="1" applyProtection="1">
      <alignment horizontal="center" vertical="center"/>
    </xf>
    <xf numFmtId="9" fontId="40" fillId="34" borderId="24" xfId="133" applyFont="1" applyFill="1" applyBorder="1" applyAlignment="1" applyProtection="1">
      <alignment horizontal="center" vertical="center"/>
    </xf>
    <xf numFmtId="0" fontId="41" fillId="34" borderId="8" xfId="0" applyFont="1" applyFill="1" applyBorder="1" applyAlignment="1">
      <alignment horizontal="center" vertical="center"/>
    </xf>
    <xf numFmtId="0" fontId="35" fillId="0" borderId="22" xfId="0" applyFont="1" applyBorder="1" applyAlignment="1">
      <alignment horizontal="center" vertical="center" wrapText="1"/>
    </xf>
    <xf numFmtId="9" fontId="35" fillId="0" borderId="22" xfId="133" applyFont="1" applyBorder="1" applyAlignment="1" applyProtection="1">
      <alignment horizontal="center" vertical="center"/>
    </xf>
    <xf numFmtId="0" fontId="35" fillId="0" borderId="22" xfId="132" applyNumberFormat="1" applyFont="1" applyBorder="1" applyAlignment="1" applyProtection="1">
      <alignment horizontal="center" vertical="center"/>
    </xf>
    <xf numFmtId="0" fontId="34" fillId="34" borderId="58" xfId="0" applyFont="1" applyFill="1" applyBorder="1" applyAlignment="1">
      <alignment vertical="center"/>
    </xf>
    <xf numFmtId="0" fontId="34" fillId="34" borderId="13" xfId="0" applyFont="1" applyFill="1" applyBorder="1" applyAlignment="1">
      <alignment vertical="center"/>
    </xf>
    <xf numFmtId="0" fontId="34" fillId="34" borderId="13" xfId="0" applyFont="1" applyFill="1" applyBorder="1" applyAlignment="1">
      <alignment horizontal="center" vertical="center"/>
    </xf>
    <xf numFmtId="9" fontId="34" fillId="34" borderId="12" xfId="0" applyNumberFormat="1" applyFont="1" applyFill="1" applyBorder="1" applyAlignment="1">
      <alignment horizontal="center" vertical="center"/>
    </xf>
    <xf numFmtId="0" fontId="24" fillId="31" borderId="0" xfId="0" applyFont="1" applyFill="1" applyAlignment="1">
      <alignment horizontal="left" vertical="top"/>
    </xf>
    <xf numFmtId="0" fontId="7" fillId="31" borderId="0" xfId="0" applyFont="1" applyFill="1" applyAlignment="1">
      <alignment horizontal="left" vertical="top"/>
    </xf>
    <xf numFmtId="9" fontId="24" fillId="31" borderId="0" xfId="0" applyNumberFormat="1" applyFont="1" applyFill="1" applyAlignment="1">
      <alignment horizontal="left" vertical="top"/>
    </xf>
    <xf numFmtId="0" fontId="7" fillId="31" borderId="0" xfId="0" applyFont="1" applyFill="1" applyAlignment="1">
      <alignment horizontal="center" vertical="top" wrapText="1"/>
    </xf>
    <xf numFmtId="0" fontId="7" fillId="31" borderId="0" xfId="0" applyFont="1" applyFill="1" applyAlignment="1">
      <alignment horizontal="center" vertical="top"/>
    </xf>
    <xf numFmtId="0" fontId="7" fillId="31" borderId="41" xfId="0" applyFont="1" applyFill="1" applyBorder="1" applyAlignment="1">
      <alignment horizontal="left" vertical="top"/>
    </xf>
    <xf numFmtId="0" fontId="25" fillId="31" borderId="42" xfId="0" applyFont="1" applyFill="1" applyBorder="1" applyAlignment="1">
      <alignment horizontal="left" vertical="top"/>
    </xf>
    <xf numFmtId="0" fontId="24" fillId="31" borderId="0" xfId="0" applyFont="1" applyFill="1" applyAlignment="1">
      <alignment vertical="top"/>
    </xf>
    <xf numFmtId="0" fontId="7" fillId="31" borderId="43" xfId="0" applyFont="1" applyFill="1" applyBorder="1" applyAlignment="1">
      <alignment horizontal="left" vertical="top"/>
    </xf>
    <xf numFmtId="0" fontId="7" fillId="31" borderId="44" xfId="0" applyFont="1" applyFill="1" applyBorder="1" applyAlignment="1">
      <alignment horizontal="left" vertical="top"/>
    </xf>
    <xf numFmtId="0" fontId="7" fillId="31" borderId="45" xfId="0" applyFont="1" applyFill="1" applyBorder="1" applyAlignment="1">
      <alignment horizontal="left" vertical="top"/>
    </xf>
    <xf numFmtId="0" fontId="26" fillId="31" borderId="33" xfId="0" applyFont="1" applyFill="1" applyBorder="1" applyAlignment="1">
      <alignment horizontal="center" vertical="center" wrapText="1" readingOrder="1"/>
    </xf>
    <xf numFmtId="0" fontId="8" fillId="31" borderId="34" xfId="0" applyFont="1" applyFill="1" applyBorder="1" applyAlignment="1">
      <alignment horizontal="center" vertical="center" wrapText="1"/>
    </xf>
    <xf numFmtId="0" fontId="24" fillId="31" borderId="41" xfId="0" applyFont="1" applyFill="1" applyBorder="1" applyAlignment="1">
      <alignment horizontal="left" vertical="top"/>
    </xf>
    <xf numFmtId="0" fontId="35" fillId="34" borderId="46" xfId="0" applyFont="1" applyFill="1" applyBorder="1" applyAlignment="1">
      <alignment horizontal="left" vertical="top"/>
    </xf>
    <xf numFmtId="0" fontId="7" fillId="31" borderId="42" xfId="0" applyFont="1" applyFill="1" applyBorder="1" applyAlignment="1">
      <alignment horizontal="left" vertical="top"/>
    </xf>
    <xf numFmtId="0" fontId="40" fillId="34" borderId="46" xfId="0" applyFont="1" applyFill="1" applyBorder="1" applyAlignment="1">
      <alignment horizontal="center" vertical="center" textRotation="90"/>
    </xf>
    <xf numFmtId="0" fontId="24" fillId="31" borderId="43" xfId="0" applyFont="1" applyFill="1" applyBorder="1" applyAlignment="1">
      <alignment horizontal="left" vertical="top"/>
    </xf>
    <xf numFmtId="0" fontId="24" fillId="31" borderId="44" xfId="0" applyFont="1" applyFill="1" applyBorder="1" applyAlignment="1">
      <alignment horizontal="left" vertical="top"/>
    </xf>
    <xf numFmtId="0" fontId="26" fillId="31" borderId="44" xfId="0" applyFont="1" applyFill="1" applyBorder="1" applyAlignment="1">
      <alignment horizontal="center" vertical="center" wrapText="1" readingOrder="1"/>
    </xf>
    <xf numFmtId="169" fontId="7" fillId="31" borderId="44" xfId="0" applyNumberFormat="1" applyFont="1" applyFill="1" applyBorder="1" applyAlignment="1">
      <alignment horizontal="center" vertical="center" wrapText="1" readingOrder="1"/>
    </xf>
    <xf numFmtId="0" fontId="8" fillId="31" borderId="42" xfId="0" applyFont="1" applyFill="1" applyBorder="1" applyAlignment="1">
      <alignment horizontal="center" vertical="center" wrapText="1"/>
    </xf>
    <xf numFmtId="0" fontId="24" fillId="31" borderId="59" xfId="0" applyFont="1" applyFill="1" applyBorder="1" applyAlignment="1">
      <alignment horizontal="left" vertical="top"/>
    </xf>
    <xf numFmtId="0" fontId="24" fillId="0" borderId="59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center" indent="1"/>
    </xf>
    <xf numFmtId="0" fontId="35" fillId="0" borderId="10" xfId="0" applyFont="1" applyBorder="1" applyAlignment="1">
      <alignment horizontal="left" vertical="center" indent="1"/>
    </xf>
    <xf numFmtId="0" fontId="7" fillId="0" borderId="42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/>
    </xf>
    <xf numFmtId="0" fontId="24" fillId="0" borderId="43" xfId="0" applyFont="1" applyBorder="1" applyAlignment="1">
      <alignment horizontal="left" vertical="top"/>
    </xf>
    <xf numFmtId="0" fontId="7" fillId="0" borderId="44" xfId="0" applyFont="1" applyBorder="1" applyAlignment="1">
      <alignment horizontal="left" vertical="center" indent="1"/>
    </xf>
    <xf numFmtId="0" fontId="7" fillId="0" borderId="44" xfId="0" applyFont="1" applyBorder="1" applyAlignment="1">
      <alignment vertical="center"/>
    </xf>
    <xf numFmtId="164" fontId="7" fillId="0" borderId="44" xfId="166" applyFont="1" applyBorder="1" applyAlignment="1" applyProtection="1">
      <alignment vertical="center" wrapText="1"/>
    </xf>
    <xf numFmtId="0" fontId="2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left" vertical="top"/>
    </xf>
    <xf numFmtId="0" fontId="7" fillId="0" borderId="41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8" fillId="0" borderId="44" xfId="0" applyFont="1" applyBorder="1" applyAlignment="1">
      <alignment horizontal="center" vertical="center" wrapText="1" readingOrder="1"/>
    </xf>
    <xf numFmtId="0" fontId="24" fillId="31" borderId="0" xfId="0" applyFont="1" applyFill="1" applyAlignment="1">
      <alignment horizontal="center" vertical="center"/>
    </xf>
    <xf numFmtId="0" fontId="24" fillId="31" borderId="33" xfId="0" applyFont="1" applyFill="1" applyBorder="1" applyAlignment="1">
      <alignment horizontal="center" vertical="center"/>
    </xf>
    <xf numFmtId="0" fontId="7" fillId="31" borderId="34" xfId="0" applyFont="1" applyFill="1" applyBorder="1" applyAlignment="1">
      <alignment horizontal="center" vertical="center"/>
    </xf>
    <xf numFmtId="0" fontId="7" fillId="31" borderId="0" xfId="0" applyFont="1" applyFill="1" applyAlignment="1">
      <alignment horizontal="center" vertical="center"/>
    </xf>
    <xf numFmtId="9" fontId="24" fillId="31" borderId="0" xfId="0" applyNumberFormat="1" applyFont="1" applyFill="1" applyAlignment="1">
      <alignment horizontal="center" vertical="center"/>
    </xf>
    <xf numFmtId="0" fontId="7" fillId="31" borderId="35" xfId="0" applyFont="1" applyFill="1" applyBorder="1" applyAlignment="1">
      <alignment horizontal="left" vertical="top"/>
    </xf>
    <xf numFmtId="0" fontId="7" fillId="31" borderId="36" xfId="0" applyFont="1" applyFill="1" applyBorder="1" applyAlignment="1">
      <alignment horizontal="left" vertical="top"/>
    </xf>
    <xf numFmtId="0" fontId="8" fillId="31" borderId="37" xfId="0" applyFont="1" applyFill="1" applyBorder="1" applyAlignment="1">
      <alignment horizontal="center" vertical="center" wrapText="1"/>
    </xf>
    <xf numFmtId="0" fontId="26" fillId="31" borderId="41" xfId="0" applyFont="1" applyFill="1" applyBorder="1" applyAlignment="1">
      <alignment horizontal="center" vertical="center" wrapText="1" readingOrder="1"/>
    </xf>
    <xf numFmtId="0" fontId="7" fillId="31" borderId="42" xfId="0" applyFont="1" applyFill="1" applyBorder="1" applyAlignment="1">
      <alignment horizontal="center" vertical="center"/>
    </xf>
    <xf numFmtId="0" fontId="26" fillId="31" borderId="43" xfId="0" applyFont="1" applyFill="1" applyBorder="1" applyAlignment="1">
      <alignment horizontal="center" vertical="center" wrapText="1" readingOrder="1"/>
    </xf>
    <xf numFmtId="0" fontId="7" fillId="31" borderId="0" xfId="0" applyFont="1" applyFill="1" applyAlignment="1">
      <alignment vertical="top"/>
    </xf>
    <xf numFmtId="0" fontId="24" fillId="31" borderId="0" xfId="0" applyFont="1" applyFill="1"/>
    <xf numFmtId="0" fontId="34" fillId="0" borderId="7" xfId="0" applyFont="1" applyBorder="1" applyAlignment="1" applyProtection="1">
      <alignment horizontal="center" vertical="center"/>
      <protection locked="0"/>
    </xf>
    <xf numFmtId="0" fontId="44" fillId="0" borderId="0" xfId="0" applyFont="1"/>
    <xf numFmtId="0" fontId="38" fillId="35" borderId="8" xfId="0" applyFont="1" applyFill="1" applyBorder="1" applyAlignment="1">
      <alignment horizontal="center" vertical="center"/>
    </xf>
    <xf numFmtId="0" fontId="37" fillId="0" borderId="22" xfId="0" applyFont="1" applyBorder="1" applyAlignment="1">
      <alignment horizontal="left" vertical="center" wrapText="1" indent="1"/>
    </xf>
    <xf numFmtId="0" fontId="36" fillId="0" borderId="22" xfId="0" applyFont="1" applyBorder="1" applyAlignment="1">
      <alignment horizontal="center" vertical="center" wrapText="1"/>
    </xf>
    <xf numFmtId="9" fontId="35" fillId="0" borderId="22" xfId="132" applyFont="1" applyBorder="1" applyAlignment="1" applyProtection="1">
      <alignment horizontal="center" vertical="center"/>
    </xf>
    <xf numFmtId="0" fontId="36" fillId="0" borderId="71" xfId="0" applyFont="1" applyBorder="1" applyAlignment="1">
      <alignment horizontal="center" vertical="center" wrapText="1"/>
    </xf>
    <xf numFmtId="9" fontId="35" fillId="0" borderId="22" xfId="0" applyNumberFormat="1" applyFont="1" applyBorder="1" applyAlignment="1">
      <alignment horizontal="center" vertical="center" wrapText="1"/>
    </xf>
    <xf numFmtId="0" fontId="37" fillId="0" borderId="72" xfId="0" applyFont="1" applyBorder="1" applyAlignment="1">
      <alignment horizontal="left" vertical="center" wrapText="1" indent="1"/>
    </xf>
    <xf numFmtId="9" fontId="35" fillId="0" borderId="71" xfId="133" applyFont="1" applyBorder="1" applyAlignment="1" applyProtection="1">
      <alignment horizontal="center" vertical="center"/>
    </xf>
    <xf numFmtId="170" fontId="35" fillId="0" borderId="22" xfId="62" applyNumberFormat="1" applyFont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7" fillId="33" borderId="76" xfId="0" applyFont="1" applyFill="1" applyBorder="1" applyAlignment="1">
      <alignment horizontal="center" vertical="center"/>
    </xf>
    <xf numFmtId="0" fontId="35" fillId="34" borderId="76" xfId="0" applyFont="1" applyFill="1" applyBorder="1" applyAlignment="1" applyProtection="1">
      <alignment horizontal="center" vertical="center" wrapText="1"/>
      <protection locked="0"/>
    </xf>
    <xf numFmtId="0" fontId="35" fillId="34" borderId="76" xfId="0" applyFont="1" applyFill="1" applyBorder="1" applyAlignment="1" applyProtection="1">
      <alignment horizontal="center" vertical="center"/>
      <protection locked="0"/>
    </xf>
    <xf numFmtId="14" fontId="35" fillId="34" borderId="76" xfId="0" applyNumberFormat="1" applyFont="1" applyFill="1" applyBorder="1" applyAlignment="1" applyProtection="1">
      <alignment horizontal="center" vertical="center"/>
      <protection locked="0"/>
    </xf>
    <xf numFmtId="0" fontId="8" fillId="0" borderId="13" xfId="0" applyFont="1" applyBorder="1" applyAlignment="1">
      <alignment horizontal="left" vertical="center" indent="1"/>
    </xf>
    <xf numFmtId="0" fontId="35" fillId="0" borderId="14" xfId="0" applyFont="1" applyBorder="1" applyAlignment="1">
      <alignment horizontal="left" vertical="center" indent="1"/>
    </xf>
    <xf numFmtId="0" fontId="34" fillId="0" borderId="12" xfId="0" applyFont="1" applyBorder="1" applyAlignment="1" applyProtection="1">
      <alignment horizontal="center" vertical="center"/>
      <protection locked="0"/>
    </xf>
    <xf numFmtId="0" fontId="34" fillId="34" borderId="75" xfId="0" applyFont="1" applyFill="1" applyBorder="1" applyAlignment="1">
      <alignment horizontal="center" vertical="center"/>
    </xf>
    <xf numFmtId="0" fontId="24" fillId="31" borderId="83" xfId="0" applyFont="1" applyFill="1" applyBorder="1" applyAlignment="1">
      <alignment horizontal="center" vertical="center"/>
    </xf>
    <xf numFmtId="0" fontId="24" fillId="31" borderId="84" xfId="0" applyFont="1" applyFill="1" applyBorder="1" applyAlignment="1">
      <alignment horizontal="center" vertical="center"/>
    </xf>
    <xf numFmtId="0" fontId="42" fillId="31" borderId="0" xfId="0" applyFont="1" applyFill="1" applyAlignment="1">
      <alignment horizontal="left" vertical="top" wrapText="1"/>
    </xf>
    <xf numFmtId="0" fontId="48" fillId="0" borderId="0" xfId="0" applyFont="1"/>
    <xf numFmtId="0" fontId="47" fillId="0" borderId="86" xfId="0" applyFont="1" applyBorder="1" applyAlignment="1">
      <alignment vertical="center"/>
    </xf>
    <xf numFmtId="0" fontId="48" fillId="0" borderId="86" xfId="0" applyFont="1" applyBorder="1" applyAlignment="1">
      <alignment horizontal="left" vertical="center" indent="2"/>
    </xf>
    <xf numFmtId="0" fontId="48" fillId="0" borderId="86" xfId="0" applyFont="1" applyBorder="1" applyAlignment="1">
      <alignment vertical="center"/>
    </xf>
    <xf numFmtId="0" fontId="47" fillId="37" borderId="86" xfId="0" applyFont="1" applyFill="1" applyBorder="1" applyAlignment="1">
      <alignment vertical="center"/>
    </xf>
    <xf numFmtId="0" fontId="48" fillId="0" borderId="86" xfId="0" applyFont="1" applyBorder="1" applyAlignment="1">
      <alignment horizontal="left" vertical="center" indent="5"/>
    </xf>
    <xf numFmtId="0" fontId="48" fillId="0" borderId="87" xfId="0" applyFont="1" applyBorder="1"/>
    <xf numFmtId="0" fontId="48" fillId="0" borderId="86" xfId="0" applyFont="1" applyBorder="1" applyAlignment="1">
      <alignment horizontal="left" vertical="center" wrapText="1"/>
    </xf>
    <xf numFmtId="0" fontId="48" fillId="0" borderId="86" xfId="0" applyFont="1" applyBorder="1" applyAlignment="1">
      <alignment horizontal="left" vertical="center" wrapText="1" indent="2"/>
    </xf>
    <xf numFmtId="0" fontId="43" fillId="31" borderId="85" xfId="0" applyFont="1" applyFill="1" applyBorder="1" applyAlignment="1">
      <alignment horizontal="center" vertical="center"/>
    </xf>
    <xf numFmtId="0" fontId="40" fillId="34" borderId="8" xfId="0" applyFont="1" applyFill="1" applyBorder="1" applyAlignment="1">
      <alignment horizontal="center" vertical="center" wrapText="1"/>
    </xf>
    <xf numFmtId="0" fontId="40" fillId="34" borderId="12" xfId="0" applyFont="1" applyFill="1" applyBorder="1" applyAlignment="1">
      <alignment horizontal="center" vertical="center" wrapText="1"/>
    </xf>
    <xf numFmtId="169" fontId="35" fillId="31" borderId="11" xfId="0" applyNumberFormat="1" applyFont="1" applyFill="1" applyBorder="1" applyAlignment="1" applyProtection="1">
      <alignment horizontal="center" vertical="center" wrapText="1" readingOrder="1"/>
      <protection locked="0"/>
    </xf>
    <xf numFmtId="169" fontId="35" fillId="31" borderId="9" xfId="0" applyNumberFormat="1" applyFont="1" applyFill="1" applyBorder="1" applyAlignment="1" applyProtection="1">
      <alignment horizontal="center" vertical="center" wrapText="1" readingOrder="1"/>
      <protection locked="0"/>
    </xf>
    <xf numFmtId="169" fontId="35" fillId="31" borderId="10" xfId="0" applyNumberFormat="1" applyFont="1" applyFill="1" applyBorder="1" applyAlignment="1" applyProtection="1">
      <alignment horizontal="center" vertical="center" wrapText="1" readingOrder="1"/>
      <protection locked="0"/>
    </xf>
    <xf numFmtId="9" fontId="35" fillId="31" borderId="11" xfId="133" applyFont="1" applyFill="1" applyBorder="1" applyAlignment="1" applyProtection="1">
      <alignment horizontal="center" vertical="center" wrapText="1" readingOrder="1"/>
      <protection locked="0"/>
    </xf>
    <xf numFmtId="9" fontId="35" fillId="31" borderId="9" xfId="133" applyFont="1" applyFill="1" applyBorder="1" applyAlignment="1" applyProtection="1">
      <alignment horizontal="center" vertical="center" wrapText="1" readingOrder="1"/>
      <protection locked="0"/>
    </xf>
    <xf numFmtId="9" fontId="35" fillId="31" borderId="10" xfId="133" applyFont="1" applyFill="1" applyBorder="1" applyAlignment="1" applyProtection="1">
      <alignment horizontal="center" vertical="center" wrapText="1" readingOrder="1"/>
      <protection locked="0"/>
    </xf>
    <xf numFmtId="0" fontId="34" fillId="34" borderId="11" xfId="0" applyFont="1" applyFill="1" applyBorder="1" applyAlignment="1">
      <alignment horizontal="center" vertical="center"/>
    </xf>
    <xf numFmtId="0" fontId="34" fillId="34" borderId="9" xfId="0" applyFont="1" applyFill="1" applyBorder="1" applyAlignment="1">
      <alignment horizontal="center" vertical="center"/>
    </xf>
    <xf numFmtId="0" fontId="34" fillId="34" borderId="10" xfId="0" applyFont="1" applyFill="1" applyBorder="1" applyAlignment="1">
      <alignment horizontal="center" vertical="center"/>
    </xf>
    <xf numFmtId="0" fontId="40" fillId="34" borderId="15" xfId="0" applyFont="1" applyFill="1" applyBorder="1" applyAlignment="1">
      <alignment horizontal="center" vertical="center" wrapText="1"/>
    </xf>
    <xf numFmtId="0" fontId="43" fillId="31" borderId="0" xfId="0" applyFont="1" applyFill="1" applyAlignment="1">
      <alignment horizontal="left" vertical="top"/>
    </xf>
    <xf numFmtId="9" fontId="35" fillId="31" borderId="15" xfId="133" applyFont="1" applyFill="1" applyBorder="1" applyAlignment="1" applyProtection="1">
      <alignment horizontal="center" vertical="center" wrapText="1"/>
      <protection locked="0"/>
    </xf>
    <xf numFmtId="9" fontId="35" fillId="31" borderId="12" xfId="133" applyFont="1" applyFill="1" applyBorder="1" applyAlignment="1" applyProtection="1">
      <alignment horizontal="center" vertical="center" wrapText="1"/>
      <protection locked="0"/>
    </xf>
    <xf numFmtId="0" fontId="42" fillId="31" borderId="67" xfId="0" applyFont="1" applyFill="1" applyBorder="1" applyAlignment="1" applyProtection="1">
      <alignment horizontal="center" vertical="center" wrapText="1"/>
      <protection locked="0"/>
    </xf>
    <xf numFmtId="0" fontId="42" fillId="31" borderId="68" xfId="0" applyFont="1" applyFill="1" applyBorder="1" applyAlignment="1" applyProtection="1">
      <alignment horizontal="center" vertical="center" wrapText="1"/>
      <protection locked="0"/>
    </xf>
    <xf numFmtId="0" fontId="43" fillId="31" borderId="0" xfId="0" applyFont="1" applyFill="1" applyAlignment="1">
      <alignment horizontal="left" vertical="center"/>
    </xf>
    <xf numFmtId="0" fontId="33" fillId="33" borderId="63" xfId="0" applyFont="1" applyFill="1" applyBorder="1" applyAlignment="1">
      <alignment horizontal="left" vertical="center" indent="1"/>
    </xf>
    <xf numFmtId="0" fontId="33" fillId="33" borderId="64" xfId="0" applyFont="1" applyFill="1" applyBorder="1" applyAlignment="1">
      <alignment horizontal="left" vertical="center" indent="1"/>
    </xf>
    <xf numFmtId="0" fontId="33" fillId="33" borderId="65" xfId="0" applyFont="1" applyFill="1" applyBorder="1" applyAlignment="1">
      <alignment horizontal="left" vertical="center" indent="1"/>
    </xf>
    <xf numFmtId="0" fontId="34" fillId="34" borderId="26" xfId="0" applyFont="1" applyFill="1" applyBorder="1" applyAlignment="1">
      <alignment horizontal="left" vertical="center" indent="1"/>
    </xf>
    <xf numFmtId="0" fontId="34" fillId="34" borderId="20" xfId="0" applyFont="1" applyFill="1" applyBorder="1" applyAlignment="1">
      <alignment horizontal="left" vertical="center" indent="1"/>
    </xf>
    <xf numFmtId="0" fontId="34" fillId="34" borderId="27" xfId="0" applyFont="1" applyFill="1" applyBorder="1" applyAlignment="1">
      <alignment horizontal="left" vertical="center" indent="1"/>
    </xf>
    <xf numFmtId="0" fontId="34" fillId="34" borderId="21" xfId="0" applyFont="1" applyFill="1" applyBorder="1" applyAlignment="1">
      <alignment horizontal="left" vertical="center" indent="1"/>
    </xf>
    <xf numFmtId="0" fontId="35" fillId="0" borderId="56" xfId="0" applyFont="1" applyBorder="1" applyAlignment="1">
      <alignment horizontal="center" vertical="center" textRotation="90" wrapText="1"/>
    </xf>
    <xf numFmtId="0" fontId="35" fillId="0" borderId="57" xfId="0" applyFont="1" applyBorder="1" applyAlignment="1">
      <alignment horizontal="center" vertical="center" textRotation="90" wrapText="1"/>
    </xf>
    <xf numFmtId="0" fontId="35" fillId="0" borderId="23" xfId="0" applyFont="1" applyBorder="1" applyAlignment="1">
      <alignment horizontal="center" vertical="center" textRotation="90" wrapText="1"/>
    </xf>
    <xf numFmtId="0" fontId="34" fillId="34" borderId="13" xfId="0" applyFont="1" applyFill="1" applyBorder="1" applyAlignment="1">
      <alignment horizontal="right" vertical="center" indent="1"/>
    </xf>
    <xf numFmtId="0" fontId="34" fillId="34" borderId="14" xfId="0" applyFont="1" applyFill="1" applyBorder="1" applyAlignment="1">
      <alignment horizontal="right" vertical="center" indent="1"/>
    </xf>
    <xf numFmtId="9" fontId="34" fillId="34" borderId="26" xfId="0" applyNumberFormat="1" applyFont="1" applyFill="1" applyBorder="1" applyAlignment="1">
      <alignment horizontal="center" vertical="center" wrapText="1"/>
    </xf>
    <xf numFmtId="9" fontId="34" fillId="34" borderId="27" xfId="0" applyNumberFormat="1" applyFont="1" applyFill="1" applyBorder="1" applyAlignment="1">
      <alignment horizontal="center" vertical="center" wrapText="1"/>
    </xf>
    <xf numFmtId="0" fontId="34" fillId="34" borderId="47" xfId="0" applyFont="1" applyFill="1" applyBorder="1" applyAlignment="1">
      <alignment horizontal="center" vertical="center"/>
    </xf>
    <xf numFmtId="0" fontId="34" fillId="34" borderId="29" xfId="0" applyFont="1" applyFill="1" applyBorder="1" applyAlignment="1">
      <alignment horizontal="center" vertical="center"/>
    </xf>
    <xf numFmtId="0" fontId="35" fillId="31" borderId="49" xfId="0" applyFont="1" applyFill="1" applyBorder="1" applyAlignment="1" applyProtection="1">
      <alignment horizontal="left" vertical="center" wrapText="1" readingOrder="1"/>
      <protection locked="0"/>
    </xf>
    <xf numFmtId="0" fontId="35" fillId="31" borderId="50" xfId="0" applyFont="1" applyFill="1" applyBorder="1" applyAlignment="1" applyProtection="1">
      <alignment horizontal="left" vertical="center" wrapText="1" readingOrder="1"/>
      <protection locked="0"/>
    </xf>
    <xf numFmtId="0" fontId="35" fillId="31" borderId="51" xfId="0" applyFont="1" applyFill="1" applyBorder="1" applyAlignment="1" applyProtection="1">
      <alignment horizontal="left" vertical="center" wrapText="1" readingOrder="1"/>
      <protection locked="0"/>
    </xf>
    <xf numFmtId="169" fontId="35" fillId="31" borderId="52" xfId="0" applyNumberFormat="1" applyFont="1" applyFill="1" applyBorder="1" applyAlignment="1" applyProtection="1">
      <alignment horizontal="left" vertical="center" wrapText="1" readingOrder="1"/>
      <protection locked="0"/>
    </xf>
    <xf numFmtId="169" fontId="35" fillId="31" borderId="53" xfId="0" applyNumberFormat="1" applyFont="1" applyFill="1" applyBorder="1" applyAlignment="1" applyProtection="1">
      <alignment horizontal="left" vertical="center" wrapText="1" readingOrder="1"/>
      <protection locked="0"/>
    </xf>
    <xf numFmtId="169" fontId="35" fillId="31" borderId="54" xfId="0" applyNumberFormat="1" applyFont="1" applyFill="1" applyBorder="1" applyAlignment="1" applyProtection="1">
      <alignment horizontal="left" vertical="center" wrapText="1" readingOrder="1"/>
      <protection locked="0"/>
    </xf>
    <xf numFmtId="9" fontId="35" fillId="31" borderId="52" xfId="133" applyFont="1" applyFill="1" applyBorder="1" applyAlignment="1" applyProtection="1">
      <alignment horizontal="left" vertical="center" wrapText="1" readingOrder="1"/>
      <protection locked="0"/>
    </xf>
    <xf numFmtId="9" fontId="35" fillId="31" borderId="53" xfId="133" applyFont="1" applyFill="1" applyBorder="1" applyAlignment="1" applyProtection="1">
      <alignment horizontal="left" vertical="center" wrapText="1" readingOrder="1"/>
      <protection locked="0"/>
    </xf>
    <xf numFmtId="9" fontId="35" fillId="31" borderId="55" xfId="133" applyFont="1" applyFill="1" applyBorder="1" applyAlignment="1" applyProtection="1">
      <alignment horizontal="left" vertical="center" wrapText="1" readingOrder="1"/>
      <protection locked="0"/>
    </xf>
    <xf numFmtId="0" fontId="34" fillId="34" borderId="28" xfId="0" applyFont="1" applyFill="1" applyBorder="1" applyAlignment="1">
      <alignment horizontal="center" vertical="center"/>
    </xf>
    <xf numFmtId="0" fontId="34" fillId="34" borderId="48" xfId="0" applyFont="1" applyFill="1" applyBorder="1" applyAlignment="1">
      <alignment horizontal="center" vertical="center"/>
    </xf>
    <xf numFmtId="0" fontId="35" fillId="34" borderId="77" xfId="0" applyFont="1" applyFill="1" applyBorder="1" applyAlignment="1" applyProtection="1">
      <alignment horizontal="center" vertical="center"/>
      <protection locked="0"/>
    </xf>
    <xf numFmtId="0" fontId="35" fillId="34" borderId="78" xfId="0" applyFont="1" applyFill="1" applyBorder="1" applyAlignment="1" applyProtection="1">
      <alignment horizontal="center" vertical="center"/>
      <protection locked="0"/>
    </xf>
    <xf numFmtId="14" fontId="35" fillId="34" borderId="77" xfId="0" applyNumberFormat="1" applyFont="1" applyFill="1" applyBorder="1" applyAlignment="1" applyProtection="1">
      <alignment horizontal="center" vertical="center"/>
      <protection locked="0"/>
    </xf>
    <xf numFmtId="14" fontId="35" fillId="34" borderId="78" xfId="0" applyNumberFormat="1" applyFont="1" applyFill="1" applyBorder="1" applyAlignment="1" applyProtection="1">
      <alignment horizontal="center" vertical="center"/>
      <protection locked="0"/>
    </xf>
    <xf numFmtId="0" fontId="35" fillId="34" borderId="30" xfId="0" applyFont="1" applyFill="1" applyBorder="1" applyAlignment="1">
      <alignment horizontal="left" vertical="center" wrapText="1"/>
    </xf>
    <xf numFmtId="0" fontId="35" fillId="34" borderId="31" xfId="0" applyFont="1" applyFill="1" applyBorder="1" applyAlignment="1">
      <alignment horizontal="left" vertical="center" wrapText="1"/>
    </xf>
    <xf numFmtId="0" fontId="35" fillId="34" borderId="32" xfId="0" applyFont="1" applyFill="1" applyBorder="1" applyAlignment="1">
      <alignment horizontal="left" vertical="center" wrapText="1"/>
    </xf>
    <xf numFmtId="0" fontId="35" fillId="34" borderId="33" xfId="0" applyFont="1" applyFill="1" applyBorder="1" applyAlignment="1">
      <alignment horizontal="left" vertical="center" wrapText="1"/>
    </xf>
    <xf numFmtId="0" fontId="35" fillId="34" borderId="0" xfId="0" applyFont="1" applyFill="1" applyAlignment="1">
      <alignment horizontal="left" vertical="center" wrapText="1"/>
    </xf>
    <xf numFmtId="0" fontId="35" fillId="34" borderId="34" xfId="0" applyFont="1" applyFill="1" applyBorder="1" applyAlignment="1">
      <alignment horizontal="left" vertical="center" wrapText="1"/>
    </xf>
    <xf numFmtId="0" fontId="35" fillId="34" borderId="35" xfId="0" applyFont="1" applyFill="1" applyBorder="1" applyAlignment="1">
      <alignment horizontal="left" vertical="center" wrapText="1"/>
    </xf>
    <xf numFmtId="0" fontId="35" fillId="34" borderId="36" xfId="0" applyFont="1" applyFill="1" applyBorder="1" applyAlignment="1">
      <alignment horizontal="left" vertical="center" wrapText="1"/>
    </xf>
    <xf numFmtId="0" fontId="35" fillId="34" borderId="37" xfId="0" applyFont="1" applyFill="1" applyBorder="1" applyAlignment="1">
      <alignment horizontal="left" vertical="center" wrapText="1"/>
    </xf>
    <xf numFmtId="0" fontId="29" fillId="32" borderId="0" xfId="0" applyFont="1" applyFill="1" applyAlignment="1">
      <alignment horizontal="center" vertical="center" wrapText="1"/>
    </xf>
    <xf numFmtId="0" fontId="28" fillId="32" borderId="0" xfId="0" applyFont="1" applyFill="1" applyAlignment="1">
      <alignment horizontal="center" vertical="top" wrapText="1"/>
    </xf>
    <xf numFmtId="0" fontId="33" fillId="33" borderId="38" xfId="0" applyFont="1" applyFill="1" applyBorder="1" applyAlignment="1">
      <alignment horizontal="left" vertical="center" indent="1"/>
    </xf>
    <xf numFmtId="0" fontId="33" fillId="33" borderId="39" xfId="0" applyFont="1" applyFill="1" applyBorder="1" applyAlignment="1">
      <alignment horizontal="left" vertical="center" indent="1"/>
    </xf>
    <xf numFmtId="0" fontId="33" fillId="33" borderId="40" xfId="0" applyFont="1" applyFill="1" applyBorder="1" applyAlignment="1">
      <alignment horizontal="left" vertical="center" indent="1"/>
    </xf>
    <xf numFmtId="0" fontId="27" fillId="33" borderId="77" xfId="0" applyFont="1" applyFill="1" applyBorder="1" applyAlignment="1">
      <alignment horizontal="center" vertical="center"/>
    </xf>
    <xf numFmtId="0" fontId="27" fillId="33" borderId="78" xfId="0" applyFont="1" applyFill="1" applyBorder="1" applyAlignment="1">
      <alignment horizontal="center" vertical="center"/>
    </xf>
    <xf numFmtId="14" fontId="35" fillId="31" borderId="77" xfId="0" applyNumberFormat="1" applyFont="1" applyFill="1" applyBorder="1" applyAlignment="1" applyProtection="1">
      <alignment horizontal="center" vertical="center"/>
      <protection locked="0"/>
    </xf>
    <xf numFmtId="14" fontId="35" fillId="31" borderId="78" xfId="0" applyNumberFormat="1" applyFont="1" applyFill="1" applyBorder="1" applyAlignment="1" applyProtection="1">
      <alignment horizontal="center" vertical="center"/>
      <protection locked="0"/>
    </xf>
    <xf numFmtId="0" fontId="32" fillId="33" borderId="77" xfId="0" applyFont="1" applyFill="1" applyBorder="1" applyAlignment="1">
      <alignment horizontal="left" vertical="center" indent="1"/>
    </xf>
    <xf numFmtId="0" fontId="32" fillId="33" borderId="79" xfId="0" applyFont="1" applyFill="1" applyBorder="1" applyAlignment="1">
      <alignment horizontal="left" vertical="center" indent="1"/>
    </xf>
    <xf numFmtId="0" fontId="32" fillId="33" borderId="78" xfId="0" applyFont="1" applyFill="1" applyBorder="1" applyAlignment="1">
      <alignment horizontal="left" vertical="center" indent="1"/>
    </xf>
    <xf numFmtId="0" fontId="27" fillId="33" borderId="0" xfId="0" applyFont="1" applyFill="1" applyAlignment="1">
      <alignment horizontal="center" vertical="center"/>
    </xf>
    <xf numFmtId="0" fontId="27" fillId="33" borderId="34" xfId="0" applyFont="1" applyFill="1" applyBorder="1" applyAlignment="1">
      <alignment horizontal="center" vertical="center"/>
    </xf>
    <xf numFmtId="0" fontId="50" fillId="34" borderId="77" xfId="0" applyFont="1" applyFill="1" applyBorder="1" applyAlignment="1" applyProtection="1">
      <alignment horizontal="center" vertical="center"/>
      <protection locked="0"/>
    </xf>
    <xf numFmtId="0" fontId="50" fillId="34" borderId="78" xfId="0" applyFont="1" applyFill="1" applyBorder="1" applyAlignment="1" applyProtection="1">
      <alignment horizontal="center" vertical="center"/>
      <protection locked="0"/>
    </xf>
    <xf numFmtId="0" fontId="34" fillId="34" borderId="75" xfId="0" applyFont="1" applyFill="1" applyBorder="1" applyAlignment="1">
      <alignment horizontal="center" vertical="center"/>
    </xf>
    <xf numFmtId="0" fontId="35" fillId="0" borderId="12" xfId="0" applyFont="1" applyBorder="1" applyAlignment="1">
      <alignment vertical="center"/>
    </xf>
    <xf numFmtId="0" fontId="35" fillId="0" borderId="7" xfId="0" applyFont="1" applyBorder="1" applyAlignment="1">
      <alignment vertical="center"/>
    </xf>
    <xf numFmtId="0" fontId="34" fillId="34" borderId="9" xfId="0" applyFont="1" applyFill="1" applyBorder="1" applyAlignment="1">
      <alignment horizontal="center" vertical="center" wrapText="1"/>
    </xf>
    <xf numFmtId="0" fontId="34" fillId="34" borderId="10" xfId="0" applyFont="1" applyFill="1" applyBorder="1" applyAlignment="1">
      <alignment horizontal="center" vertical="center" wrapText="1"/>
    </xf>
    <xf numFmtId="0" fontId="34" fillId="31" borderId="66" xfId="0" applyFont="1" applyFill="1" applyBorder="1" applyAlignment="1">
      <alignment horizontal="left" vertical="center" wrapText="1"/>
    </xf>
    <xf numFmtId="0" fontId="34" fillId="31" borderId="67" xfId="0" applyFont="1" applyFill="1" applyBorder="1" applyAlignment="1">
      <alignment horizontal="left" vertical="center" wrapText="1"/>
    </xf>
    <xf numFmtId="0" fontId="34" fillId="31" borderId="68" xfId="0" applyFont="1" applyFill="1" applyBorder="1" applyAlignment="1">
      <alignment horizontal="left" vertical="center" wrapText="1"/>
    </xf>
    <xf numFmtId="0" fontId="34" fillId="34" borderId="60" xfId="0" applyFont="1" applyFill="1" applyBorder="1" applyAlignment="1">
      <alignment horizontal="center" vertical="center"/>
    </xf>
    <xf numFmtId="0" fontId="34" fillId="34" borderId="61" xfId="0" applyFont="1" applyFill="1" applyBorder="1" applyAlignment="1">
      <alignment horizontal="center" vertical="center"/>
    </xf>
    <xf numFmtId="0" fontId="42" fillId="31" borderId="74" xfId="0" applyFont="1" applyFill="1" applyBorder="1" applyAlignment="1" applyProtection="1">
      <alignment horizontal="center" vertical="top" wrapText="1"/>
      <protection locked="0"/>
    </xf>
    <xf numFmtId="0" fontId="42" fillId="31" borderId="69" xfId="0" applyFont="1" applyFill="1" applyBorder="1" applyAlignment="1" applyProtection="1">
      <alignment horizontal="center" vertical="top" wrapText="1"/>
      <protection locked="0"/>
    </xf>
    <xf numFmtId="0" fontId="42" fillId="31" borderId="70" xfId="0" applyFont="1" applyFill="1" applyBorder="1" applyAlignment="1" applyProtection="1">
      <alignment horizontal="center" vertical="top" wrapText="1"/>
      <protection locked="0"/>
    </xf>
    <xf numFmtId="0" fontId="34" fillId="34" borderId="81" xfId="0" applyFont="1" applyFill="1" applyBorder="1" applyAlignment="1">
      <alignment horizontal="center" vertical="center"/>
    </xf>
    <xf numFmtId="0" fontId="34" fillId="34" borderId="11" xfId="0" applyFont="1" applyFill="1" applyBorder="1" applyAlignment="1">
      <alignment horizontal="center" vertical="center" wrapText="1"/>
    </xf>
    <xf numFmtId="0" fontId="33" fillId="33" borderId="30" xfId="0" applyFont="1" applyFill="1" applyBorder="1" applyAlignment="1">
      <alignment horizontal="left" vertical="center" indent="1"/>
    </xf>
    <xf numFmtId="0" fontId="33" fillId="33" borderId="31" xfId="0" applyFont="1" applyFill="1" applyBorder="1" applyAlignment="1">
      <alignment horizontal="left" vertical="center" indent="1"/>
    </xf>
    <xf numFmtId="0" fontId="33" fillId="33" borderId="32" xfId="0" applyFont="1" applyFill="1" applyBorder="1" applyAlignment="1">
      <alignment horizontal="left" vertical="center" indent="1"/>
    </xf>
    <xf numFmtId="0" fontId="34" fillId="31" borderId="82" xfId="0" applyFont="1" applyFill="1" applyBorder="1" applyAlignment="1">
      <alignment horizontal="left" vertical="top" wrapText="1"/>
    </xf>
    <xf numFmtId="0" fontId="34" fillId="31" borderId="83" xfId="0" applyFont="1" applyFill="1" applyBorder="1" applyAlignment="1">
      <alignment horizontal="left" vertical="top" wrapText="1"/>
    </xf>
    <xf numFmtId="0" fontId="35" fillId="31" borderId="62" xfId="0" applyFont="1" applyFill="1" applyBorder="1" applyAlignment="1" applyProtection="1">
      <alignment horizontal="center" vertical="center" wrapText="1" readingOrder="1"/>
      <protection locked="0"/>
    </xf>
    <xf numFmtId="0" fontId="35" fillId="31" borderId="24" xfId="0" applyFont="1" applyFill="1" applyBorder="1" applyAlignment="1" applyProtection="1">
      <alignment horizontal="center" vertical="center" wrapText="1" readingOrder="1"/>
      <protection locked="0"/>
    </xf>
    <xf numFmtId="0" fontId="35" fillId="31" borderId="25" xfId="0" applyFont="1" applyFill="1" applyBorder="1" applyAlignment="1" applyProtection="1">
      <alignment horizontal="center" vertical="center" wrapText="1" readingOrder="1"/>
      <protection locked="0"/>
    </xf>
    <xf numFmtId="164" fontId="37" fillId="0" borderId="80" xfId="166" applyFont="1" applyBorder="1" applyAlignment="1" applyProtection="1">
      <alignment vertical="center" wrapText="1"/>
    </xf>
    <xf numFmtId="164" fontId="37" fillId="0" borderId="13" xfId="166" applyFont="1" applyBorder="1" applyAlignment="1" applyProtection="1">
      <alignment vertical="center" wrapText="1"/>
    </xf>
    <xf numFmtId="164" fontId="37" fillId="0" borderId="14" xfId="166" applyFont="1" applyBorder="1" applyAlignment="1" applyProtection="1">
      <alignment vertical="center" wrapText="1"/>
    </xf>
    <xf numFmtId="164" fontId="37" fillId="0" borderId="11" xfId="166" applyFont="1" applyBorder="1" applyAlignment="1" applyProtection="1">
      <alignment vertical="center" wrapText="1"/>
    </xf>
    <xf numFmtId="164" fontId="37" fillId="0" borderId="9" xfId="166" applyFont="1" applyBorder="1" applyAlignment="1" applyProtection="1">
      <alignment vertical="center" wrapText="1"/>
    </xf>
    <xf numFmtId="164" fontId="37" fillId="0" borderId="10" xfId="166" applyFont="1" applyBorder="1" applyAlignment="1" applyProtection="1">
      <alignment vertical="center" wrapText="1"/>
    </xf>
    <xf numFmtId="0" fontId="45" fillId="0" borderId="26" xfId="0" applyFont="1" applyBorder="1" applyAlignment="1">
      <alignment horizontal="center" vertical="center" textRotation="90" wrapText="1"/>
    </xf>
    <xf numFmtId="0" fontId="45" fillId="0" borderId="73" xfId="0" applyFont="1" applyBorder="1" applyAlignment="1">
      <alignment horizontal="center" vertical="center" textRotation="90" wrapText="1"/>
    </xf>
    <xf numFmtId="0" fontId="45" fillId="0" borderId="27" xfId="0" applyFont="1" applyBorder="1" applyAlignment="1">
      <alignment horizontal="center" vertical="center" textRotation="90" wrapText="1"/>
    </xf>
    <xf numFmtId="0" fontId="24" fillId="35" borderId="26" xfId="0" applyFont="1" applyFill="1" applyBorder="1" applyAlignment="1">
      <alignment horizontal="left" vertical="center" indent="1"/>
    </xf>
    <xf numFmtId="0" fontId="24" fillId="35" borderId="20" xfId="0" applyFont="1" applyFill="1" applyBorder="1" applyAlignment="1">
      <alignment horizontal="left" vertical="center" indent="1"/>
    </xf>
    <xf numFmtId="0" fontId="24" fillId="35" borderId="27" xfId="0" applyFont="1" applyFill="1" applyBorder="1" applyAlignment="1">
      <alignment horizontal="left" vertical="center" indent="1"/>
    </xf>
    <xf numFmtId="0" fontId="24" fillId="35" borderId="21" xfId="0" applyFont="1" applyFill="1" applyBorder="1" applyAlignment="1">
      <alignment horizontal="left" vertical="center" indent="1"/>
    </xf>
    <xf numFmtId="9" fontId="24" fillId="35" borderId="26" xfId="0" applyNumberFormat="1" applyFont="1" applyFill="1" applyBorder="1" applyAlignment="1">
      <alignment horizontal="center" vertical="center" wrapText="1"/>
    </xf>
    <xf numFmtId="9" fontId="24" fillId="35" borderId="27" xfId="0" applyNumberFormat="1" applyFont="1" applyFill="1" applyBorder="1" applyAlignment="1">
      <alignment horizontal="center" vertical="center" wrapText="1"/>
    </xf>
    <xf numFmtId="0" fontId="24" fillId="35" borderId="11" xfId="0" applyFont="1" applyFill="1" applyBorder="1" applyAlignment="1">
      <alignment horizontal="center" vertical="center"/>
    </xf>
    <xf numFmtId="0" fontId="24" fillId="35" borderId="9" xfId="0" applyFont="1" applyFill="1" applyBorder="1" applyAlignment="1">
      <alignment horizontal="center" vertical="center"/>
    </xf>
    <xf numFmtId="0" fontId="24" fillId="35" borderId="10" xfId="0" applyFont="1" applyFill="1" applyBorder="1" applyAlignment="1">
      <alignment horizontal="center" vertical="center"/>
    </xf>
    <xf numFmtId="0" fontId="45" fillId="0" borderId="56" xfId="0" applyFont="1" applyBorder="1" applyAlignment="1">
      <alignment horizontal="center" vertical="center" textRotation="90" wrapText="1"/>
    </xf>
    <xf numFmtId="0" fontId="45" fillId="0" borderId="57" xfId="0" applyFont="1" applyBorder="1" applyAlignment="1">
      <alignment horizontal="center" vertical="center" textRotation="90" wrapText="1"/>
    </xf>
    <xf numFmtId="0" fontId="45" fillId="0" borderId="23" xfId="0" applyFont="1" applyBorder="1" applyAlignment="1">
      <alignment horizontal="center" vertical="center" textRotation="90" wrapText="1"/>
    </xf>
    <xf numFmtId="0" fontId="28" fillId="36" borderId="0" xfId="0" applyFont="1" applyFill="1" applyAlignment="1">
      <alignment horizontal="center" vertical="center" textRotation="90"/>
    </xf>
  </cellXfs>
  <cellStyles count="167">
    <cellStyle name="20% - Accent1 2" xfId="1" xr:uid="{FF2A3B07-18D9-4167-8BDA-D6348ED2C0A9}"/>
    <cellStyle name="20% - Accent2 2" xfId="2" xr:uid="{06B4908F-9C63-4F85-B697-C728C606A524}"/>
    <cellStyle name="20% - Accent3 2" xfId="3" xr:uid="{1A89713B-7DE7-4B04-9D12-0869D49B083B}"/>
    <cellStyle name="20% - Accent4 2" xfId="4" xr:uid="{8AB4A6CF-4A46-437C-AE60-6BE5359595DC}"/>
    <cellStyle name="20% - Accent6 2" xfId="5" xr:uid="{1DAC5D5A-E6B1-4F5B-9468-91EEA24A1F50}"/>
    <cellStyle name="40% - Accent1 2" xfId="6" xr:uid="{30CB6C03-4690-4DB1-95C2-A03E4A1D6959}"/>
    <cellStyle name="40% - Accent3 2" xfId="7" xr:uid="{610391DC-8674-4615-B93D-0DB8194ACBDE}"/>
    <cellStyle name="40% - Accent4 2" xfId="8" xr:uid="{9A0698A3-EBA1-4B29-8852-6D2BCD784F66}"/>
    <cellStyle name="40% - Accent5 2" xfId="9" xr:uid="{0997737A-F361-4DFA-B5BE-C2F7D75D5587}"/>
    <cellStyle name="40% - Accent6 2" xfId="10" xr:uid="{7AF11696-7CD7-4120-BED6-C8615C6C0C68}"/>
    <cellStyle name="60% - Accent1 2" xfId="11" xr:uid="{8FDF0579-09E6-4277-8DB3-FFB414FB335D}"/>
    <cellStyle name="60% - Accent2 2" xfId="12" xr:uid="{4BC36864-7A5C-4C9E-918C-96B2CAC44F75}"/>
    <cellStyle name="60% - Accent3 2" xfId="13" xr:uid="{6331490F-57B8-4BD2-A132-3681832F5142}"/>
    <cellStyle name="60% - Accent4 2" xfId="14" xr:uid="{342A28FD-FF33-4BE5-AF5D-A582934A4C11}"/>
    <cellStyle name="60% - Accent5 2" xfId="15" xr:uid="{6E20CAA8-C691-435F-A575-4F47C717CE55}"/>
    <cellStyle name="60% - Accent6 2" xfId="16" xr:uid="{FF39AAE5-A30D-4079-96B3-2A5ECB22DE6D}"/>
    <cellStyle name="Accent1 - 20%" xfId="17" xr:uid="{C616CD8F-0533-4679-B982-1C05055CA0D1}"/>
    <cellStyle name="Accent1 - 40%" xfId="18" xr:uid="{40714DDA-A2A8-49E5-B87C-4C81ABA19A7F}"/>
    <cellStyle name="Accent1 - 60%" xfId="19" xr:uid="{ADF9DA32-7C25-4C99-A664-8A8C1A6FEE68}"/>
    <cellStyle name="Accent1 2" xfId="20" xr:uid="{E9984FFF-C29A-4C77-8105-4BFB094D63CA}"/>
    <cellStyle name="Accent1 3" xfId="21" xr:uid="{272B7BCA-1DBA-4D5B-84C5-D752C262B740}"/>
    <cellStyle name="Accent1 4" xfId="22" xr:uid="{E964DC34-3C80-4FB9-B59C-3CBF2D35C21C}"/>
    <cellStyle name="Accent1 5" xfId="23" xr:uid="{88778EA1-FE3E-4A49-B4E0-572F929550E3}"/>
    <cellStyle name="Accent1 6" xfId="24" xr:uid="{DADE7881-9C01-4743-B16E-6CEEA1A9A7D6}"/>
    <cellStyle name="Accent2 - 20%" xfId="25" xr:uid="{709CD5C4-0CE3-4ACA-9C3F-7BED9AB8B04C}"/>
    <cellStyle name="Accent2 - 40%" xfId="26" xr:uid="{97228BD6-87A1-4E30-895B-ADEA8612D1ED}"/>
    <cellStyle name="Accent2 - 60%" xfId="27" xr:uid="{19A22C14-F209-461A-9E51-60532ACBC0F3}"/>
    <cellStyle name="Accent2 2" xfId="28" xr:uid="{85042E81-ADE5-41CE-B777-9ADFE759C73B}"/>
    <cellStyle name="Accent2 3" xfId="29" xr:uid="{DE72CB8B-A4A5-4B5C-9168-DF1B4B0DE1E0}"/>
    <cellStyle name="Accent2 4" xfId="30" xr:uid="{581D3939-9AC7-40DA-B961-86D9CF9BD622}"/>
    <cellStyle name="Accent2 5" xfId="31" xr:uid="{A064BAE8-72CA-4907-A928-80A1ED98B73F}"/>
    <cellStyle name="Accent2 6" xfId="32" xr:uid="{6F1E1499-0005-4A84-A1C7-C85FACDEF985}"/>
    <cellStyle name="Accent3 - 20%" xfId="33" xr:uid="{0BD1170C-C289-4304-8E58-1CEFD2A8A0D2}"/>
    <cellStyle name="Accent3 - 40%" xfId="34" xr:uid="{0B56AE99-1F36-4856-9F9C-4AE61778209B}"/>
    <cellStyle name="Accent3 - 60%" xfId="35" xr:uid="{A7D4FC5E-03D0-43C3-81D6-7486EAC82644}"/>
    <cellStyle name="Accent3 2" xfId="36" xr:uid="{0876E1D0-03B5-452A-8FBE-9D92A6527ACD}"/>
    <cellStyle name="Accent3 3" xfId="37" xr:uid="{2C998809-D4E9-460D-B0F2-A08F5BF737DA}"/>
    <cellStyle name="Accent3 4" xfId="38" xr:uid="{315B6BE0-A8FF-4D03-B6F9-CC07E5C9525C}"/>
    <cellStyle name="Accent3 5" xfId="39" xr:uid="{70C7B58E-C9A5-48E7-8E3F-9D8D2F6EC5FE}"/>
    <cellStyle name="Accent3 6" xfId="40" xr:uid="{0E04D6A5-023C-44DB-9766-30E0FB623F05}"/>
    <cellStyle name="Accent4 - 20%" xfId="41" xr:uid="{B2E075DF-4114-4FA9-930F-8C061541EE4B}"/>
    <cellStyle name="Accent4 - 40%" xfId="42" xr:uid="{76DE6451-A881-4632-966A-9FD1B1457023}"/>
    <cellStyle name="Accent4 - 60%" xfId="43" xr:uid="{04CD20CD-5093-40E9-846B-190E800DCE2A}"/>
    <cellStyle name="Accent4 2" xfId="44" xr:uid="{6F4F01CD-D9F5-4FC6-BC2D-DD772B2D7BA3}"/>
    <cellStyle name="Accent4 3" xfId="45" xr:uid="{DEC89B2A-BAF6-45CB-8211-EA87F80A788B}"/>
    <cellStyle name="Accent4 4" xfId="46" xr:uid="{7E71B73A-748E-4882-A3EC-5F6822859E99}"/>
    <cellStyle name="Accent4 5" xfId="47" xr:uid="{6C250BDF-FFE7-4601-8A4E-B4068283A631}"/>
    <cellStyle name="Accent4 6" xfId="48" xr:uid="{49C7BD47-F2B3-4448-A23B-9DE7FCFB20B8}"/>
    <cellStyle name="Accent5 - 20%" xfId="49" xr:uid="{4A62E08A-DCD4-4D4F-9C4E-1F86BEC07036}"/>
    <cellStyle name="Accent5 - 40%" xfId="50" xr:uid="{9CB1ED61-E1CF-4809-B96A-D2B4E5E5F6A2}"/>
    <cellStyle name="Accent5 - 60%" xfId="51" xr:uid="{019C716B-9C93-4C25-9731-FB1EDEA6B97B}"/>
    <cellStyle name="Accent6 - 20%" xfId="52" xr:uid="{A7FDA224-A6DF-4B10-BCBC-81A91843CD0F}"/>
    <cellStyle name="Accent6 - 40%" xfId="53" xr:uid="{9FED6B3E-C7BA-42DC-8784-997969C9FA1D}"/>
    <cellStyle name="Accent6 - 60%" xfId="54" xr:uid="{19D23F54-C053-407A-9FCA-2FB57C2FD1B7}"/>
    <cellStyle name="Accent6 2" xfId="55" xr:uid="{84935ECC-DE0B-41C2-95E2-14D30C718B95}"/>
    <cellStyle name="Accent6 3" xfId="56" xr:uid="{6CE41D4A-F7DA-4140-AB09-4EA80D9282E6}"/>
    <cellStyle name="Accent6 4" xfId="57" xr:uid="{4139EA36-5FE8-4D55-BEDC-2C582FCD2E3B}"/>
    <cellStyle name="Accent6 5" xfId="58" xr:uid="{5CA12E64-4D74-4D36-8D8E-EA8216F1A4E7}"/>
    <cellStyle name="Accent6 6" xfId="59" xr:uid="{2A500117-174D-4C54-A7EB-EF066995F780}"/>
    <cellStyle name="Bad 2" xfId="60" xr:uid="{1F62FCF7-FBF8-40F6-9A00-20115619C030}"/>
    <cellStyle name="Calculation 2" xfId="61" xr:uid="{448F74C4-9D2E-4964-9C86-B897F3B66FE4}"/>
    <cellStyle name="Comma" xfId="62" builtinId="3"/>
    <cellStyle name="Comma 10" xfId="63" xr:uid="{75A91231-9F3B-4ABE-B579-290651883352}"/>
    <cellStyle name="Comma 11" xfId="64" xr:uid="{3251AD35-A311-48FF-B81F-FB02A017362D}"/>
    <cellStyle name="Comma 12" xfId="65" xr:uid="{71786D9C-6076-4FA2-95C6-E82F47626BF5}"/>
    <cellStyle name="Comma 13" xfId="66" xr:uid="{2F7BBF2F-7AD2-4F99-8A9B-C359A4B1A16E}"/>
    <cellStyle name="Comma 2" xfId="67" xr:uid="{45929725-56BC-4C08-8C3B-7408B83571D3}"/>
    <cellStyle name="Comma 2 2" xfId="68" xr:uid="{4FFAF51B-7BAD-46B7-BF89-5E2C370477A4}"/>
    <cellStyle name="Comma 2 3" xfId="69" xr:uid="{E886D3C1-DF45-4D7D-A6C6-F5F41FA48A7C}"/>
    <cellStyle name="Comma 2 3 2" xfId="70" xr:uid="{62D2F752-5F65-4C2B-B338-D0B45DD5AF43}"/>
    <cellStyle name="Comma 2 4" xfId="71" xr:uid="{446DDF69-F937-4F0C-985E-520D13B70EFE}"/>
    <cellStyle name="Comma 2 4 2" xfId="72" xr:uid="{9DE0646F-5451-4A65-8B91-25DB9F1ECABF}"/>
    <cellStyle name="Comma 2 5" xfId="73" xr:uid="{0DF96A05-4110-4A30-932E-652FDF5F9A41}"/>
    <cellStyle name="Comma 2 6" xfId="74" xr:uid="{28F8816F-EEBC-407C-B1A7-8897552F2462}"/>
    <cellStyle name="Comma 6" xfId="75" xr:uid="{315986BB-40BD-40DC-A1CE-419BEC80FC64}"/>
    <cellStyle name="Comma 7" xfId="76" xr:uid="{1F88DAAC-9E1F-4218-96E5-07552A2DB2CE}"/>
    <cellStyle name="Comma 8" xfId="77" xr:uid="{FF29D402-6CDD-4893-B697-49B384B8284F}"/>
    <cellStyle name="Comma 9" xfId="78" xr:uid="{67777612-D519-402C-97FA-30A44FE185ED}"/>
    <cellStyle name="Currency" xfId="166" builtinId="4"/>
    <cellStyle name="Currency 2 2" xfId="79" xr:uid="{9DF009C4-6E8B-41F3-8DDE-306C6915D8DD}"/>
    <cellStyle name="Currency 2 3" xfId="80" xr:uid="{54DD0C55-8607-4E70-B66E-13D7A29DB4CE}"/>
    <cellStyle name="Currency 2 3 2" xfId="81" xr:uid="{3B2BD8E9-84F5-4DC0-BB1B-8D22C5DC6498}"/>
    <cellStyle name="Currency 2 4" xfId="82" xr:uid="{2808E42E-949E-4374-AEF3-836CBAEEFBBA}"/>
    <cellStyle name="Currency 2 4 2" xfId="83" xr:uid="{7D8A6F09-908C-44ED-AED9-DB30A3EA6B36}"/>
    <cellStyle name="Currency 2 5" xfId="84" xr:uid="{208F79AE-D465-4E56-B5A7-633E7406498D}"/>
    <cellStyle name="Currency 3 2" xfId="85" xr:uid="{AE2EE6AE-7B54-4045-BE9D-6BBE199B3D70}"/>
    <cellStyle name="Currency 6" xfId="86" xr:uid="{9F354973-B234-41E9-9115-705D0E06CBC4}"/>
    <cellStyle name="Currency 7" xfId="87" xr:uid="{9CCA9BC0-1579-4897-8126-A741D4B24B92}"/>
    <cellStyle name="Currency 8" xfId="88" xr:uid="{286EF244-6B1D-4EA4-B4C1-64C5C57F2E37}"/>
    <cellStyle name="Emphasis 1" xfId="89" xr:uid="{E711C958-F6D6-4DEC-B162-199640EACACA}"/>
    <cellStyle name="Emphasis 2" xfId="90" xr:uid="{FF6B87A8-67AC-47B4-9828-5B6C2F42B058}"/>
    <cellStyle name="Emphasis 3" xfId="91" xr:uid="{C210779B-7F71-463E-96FC-B234CF35ED13}"/>
    <cellStyle name="Euro" xfId="92" xr:uid="{627BA089-4BAC-4F42-989C-E0D583AF1B12}"/>
    <cellStyle name="Good 2" xfId="93" xr:uid="{96D3A098-1E09-41AA-BC55-8BCE782343BE}"/>
    <cellStyle name="Heading 1 2" xfId="94" xr:uid="{1BB30B97-316E-41C9-9F39-EFDB1634DC91}"/>
    <cellStyle name="Heading 2 2" xfId="95" xr:uid="{29D4A403-8737-414D-B157-08AFD44821D8}"/>
    <cellStyle name="Heading 3 2" xfId="96" xr:uid="{3251C7F8-62BF-4807-85A3-5EC1B7C94A30}"/>
    <cellStyle name="Heading 4 2" xfId="97" xr:uid="{9DE83FF1-BAAA-4755-83AA-6BB85C47F679}"/>
    <cellStyle name="Input 2" xfId="98" xr:uid="{B3857155-A390-4FFC-93DD-0961B646AB5F}"/>
    <cellStyle name="Linked Cell 2" xfId="99" xr:uid="{31161B52-954C-4A51-BDC7-81FB5152C4D2}"/>
    <cellStyle name="Moeda 2" xfId="100" xr:uid="{51478A6E-6DEF-4A05-91CE-ECC034E6F335}"/>
    <cellStyle name="Neutral 2" xfId="101" xr:uid="{62F59985-711F-4767-9D44-9517E96C5162}"/>
    <cellStyle name="Normal" xfId="0" builtinId="0"/>
    <cellStyle name="Normal 2" xfId="102" xr:uid="{8B31BF46-6BB3-488A-BFA3-50073B6B85A7}"/>
    <cellStyle name="Normal 2 2" xfId="103" xr:uid="{CA56773C-96D1-4356-8331-EA445BAA306F}"/>
    <cellStyle name="Normal 2 2 2" xfId="104" xr:uid="{A10EE6E9-43FA-4E22-9AD7-F803E107F53B}"/>
    <cellStyle name="Normal 2 2 3" xfId="105" xr:uid="{A304F36F-7A23-4643-9428-AE55E286FA03}"/>
    <cellStyle name="Normal 2 3" xfId="106" xr:uid="{CE889929-B3B0-4359-BA9A-F9D37E33F9C2}"/>
    <cellStyle name="Normal 3" xfId="107" xr:uid="{5A4A5E34-7B07-48E1-BCD1-1C72E6E3CFC1}"/>
    <cellStyle name="Normal 3 2" xfId="108" xr:uid="{8D9FFF24-3F7C-4163-B3C8-CAD3E8FBC54D}"/>
    <cellStyle name="Normal 3 2 2" xfId="109" xr:uid="{C8465975-956A-4DA4-8F20-EC4F24EC36DB}"/>
    <cellStyle name="Normal 3 2 3" xfId="110" xr:uid="{5A4FF314-3AFA-40F5-AF23-D0B38B4B4646}"/>
    <cellStyle name="Normal 3 3" xfId="111" xr:uid="{639371C5-2DB4-4A12-95F4-4AB1BA5079F5}"/>
    <cellStyle name="Normal 3 3 2" xfId="112" xr:uid="{2A1E04BE-B86B-41DE-B716-FA9AC65BFCB8}"/>
    <cellStyle name="Normal 3 4" xfId="113" xr:uid="{AC5803F7-67BC-4AC8-872A-E8F73A09730E}"/>
    <cellStyle name="Normal 3 4 2" xfId="114" xr:uid="{D9ED1F07-E9B1-436A-901D-074D6905A506}"/>
    <cellStyle name="Normal 3 5" xfId="115" xr:uid="{0979B9A9-E1E1-4B38-9EDA-105F603D6719}"/>
    <cellStyle name="Normal 3 6" xfId="116" xr:uid="{CDCE0D0A-E8EE-432F-8F2A-530EA7FC648E}"/>
    <cellStyle name="Normal 4 2" xfId="117" xr:uid="{7AC86F56-5DCA-41B1-8819-2950C2A41DF3}"/>
    <cellStyle name="Normal 4 3" xfId="118" xr:uid="{A7FD75CF-DD5F-441E-8DCE-DC26D3CCD19E}"/>
    <cellStyle name="Normal 4 4" xfId="119" xr:uid="{97CCB5F5-F208-434F-90A3-02D16CEC35D4}"/>
    <cellStyle name="Normal 5 2" xfId="120" xr:uid="{31F20F36-C18C-417A-8F03-53CF6FDED67F}"/>
    <cellStyle name="Normal 5 3" xfId="121" xr:uid="{0E94C308-FD00-4069-9992-3B6A874EB943}"/>
    <cellStyle name="Normal 5 4" xfId="122" xr:uid="{40B31433-B373-45B2-85FB-DE6EBFA6E83B}"/>
    <cellStyle name="Normal 6" xfId="123" xr:uid="{141F5060-4205-4699-BDEB-5412B284A23E}"/>
    <cellStyle name="Normal 6 2" xfId="124" xr:uid="{99B50294-C6FC-4122-8A05-F013C874D9B4}"/>
    <cellStyle name="Normal 6 3" xfId="125" xr:uid="{F7FF2BDC-64F1-4C4D-A37D-268C6BF3924E}"/>
    <cellStyle name="Normal 6_Orç &amp; Fat" xfId="126" xr:uid="{60746185-D791-413F-AC08-A4DFDD361A34}"/>
    <cellStyle name="Normal 7" xfId="127" xr:uid="{45A88F38-4879-4070-8300-1F3E917EFFFF}"/>
    <cellStyle name="Nota 2" xfId="128" xr:uid="{2BA7B387-CA68-43EC-AC46-B145AC5B88D5}"/>
    <cellStyle name="Note 2" xfId="129" xr:uid="{63263E8A-262E-41D7-A1AB-0F30E4EA37CB}"/>
    <cellStyle name="Note 3" xfId="130" xr:uid="{B502F335-0F88-4457-A851-1A389518FE10}"/>
    <cellStyle name="Output 2" xfId="131" xr:uid="{39BA4B78-4039-4F3F-8C6C-1BBD5F677B59}"/>
    <cellStyle name="Percent" xfId="132" builtinId="5"/>
    <cellStyle name="Percent 2" xfId="133" xr:uid="{F362234B-2FD6-42C4-99A5-F835F4884F0C}"/>
    <cellStyle name="Percent 2 2" xfId="134" xr:uid="{C5E92651-1170-43EE-90E7-52B107FF260A}"/>
    <cellStyle name="Percent 2 3" xfId="135" xr:uid="{F4AA5CBF-CA59-40B5-BE76-48C3AD1AB575}"/>
    <cellStyle name="Percent 2 3 2" xfId="136" xr:uid="{935FC0AB-E27D-49B4-BF11-A75E583673B1}"/>
    <cellStyle name="Percent 2 4" xfId="137" xr:uid="{D86050DD-C9E8-4189-B07E-85A9DF26F3B9}"/>
    <cellStyle name="Percent 2 4 2" xfId="138" xr:uid="{880C231A-AE94-4187-A9E3-D009F733AE52}"/>
    <cellStyle name="Percent 2 5" xfId="139" xr:uid="{C0893C5C-FAEF-480F-B71B-836001ED19E2}"/>
    <cellStyle name="Percent 2 6" xfId="140" xr:uid="{A3A849AC-4B0A-42E1-AB13-47119E0BDB06}"/>
    <cellStyle name="Percent 3" xfId="141" xr:uid="{C048ACED-B8DE-4186-AC3E-E6BB2A3ED699}"/>
    <cellStyle name="Percent 6" xfId="142" xr:uid="{3D7ADFC5-86AB-4416-B001-15175A63D793}"/>
    <cellStyle name="Porcentagem 2" xfId="143" xr:uid="{5EB2B2D6-5149-4913-811D-9B5AE5A688A3}"/>
    <cellStyle name="Porcentagem 2 2" xfId="144" xr:uid="{C905B676-5E8E-40AF-AE98-91679A98A200}"/>
    <cellStyle name="Porcentagem 2 3" xfId="145" xr:uid="{FE1FF9D4-1C3B-4627-81E6-FE03E994D2E7}"/>
    <cellStyle name="Porcentagem 2 4" xfId="146" xr:uid="{47546072-16FE-417D-9254-3389185E81C9}"/>
    <cellStyle name="Porcentagem 2 5" xfId="147" xr:uid="{26AB4B2A-4749-4EB5-A8CF-C4322FAA6D02}"/>
    <cellStyle name="Porcentagem 3" xfId="148" xr:uid="{D1E16877-8FF5-4F7B-B6B8-FFD6CB76E180}"/>
    <cellStyle name="Separador de milhares 2" xfId="149" xr:uid="{BD8BD6CA-F92F-4E41-ABBC-1872E02F174E}"/>
    <cellStyle name="Separador de milhares 3" xfId="150" xr:uid="{808DF7F5-5621-47DA-93B4-D4DCDC61A6B2}"/>
    <cellStyle name="Separador de milhares 4" xfId="151" xr:uid="{6442408E-45DA-4DAD-BB5E-CCCF2E799A31}"/>
    <cellStyle name="Sheet Title" xfId="152" xr:uid="{FA97C916-FA1F-4DF5-8153-9C4C8A7D6F9B}"/>
    <cellStyle name="Title 2" xfId="153" xr:uid="{094E7448-B7FA-49DA-A255-AF4DD5D806CA}"/>
    <cellStyle name="Title 3" xfId="154" xr:uid="{4EFA9BB6-7207-44E7-8F6F-0BD65793A6DF}"/>
    <cellStyle name="Total" xfId="155" builtinId="25" customBuiltin="1"/>
    <cellStyle name="Total 2" xfId="156" xr:uid="{7419FF98-CD55-46AC-82C2-9ACF94103010}"/>
    <cellStyle name="Total 2 2" xfId="157" xr:uid="{22FC780A-A8D3-41E7-AC05-738702F60C03}"/>
    <cellStyle name="Total 3" xfId="158" xr:uid="{C910B9D5-DB07-497F-B830-ED8A9C1AA5F1}"/>
    <cellStyle name="Total 3 2" xfId="159" xr:uid="{F40D99E0-AE34-4256-9384-5138122BCD2E}"/>
    <cellStyle name="Total 4" xfId="160" xr:uid="{455CFE57-C90F-4B2A-9446-1DD0CCC101D3}"/>
    <cellStyle name="Total 4 2" xfId="161" xr:uid="{BB23AA6E-2D77-4D3C-9797-27E088AB7E3F}"/>
    <cellStyle name="Total 5" xfId="162" xr:uid="{E30823DA-0D88-431B-9B65-FE7CCFBA8EC1}"/>
    <cellStyle name="Total 5 2" xfId="163" xr:uid="{94A7E871-EC6A-488E-8B11-BB58AD213F4A}"/>
    <cellStyle name="Total 6" xfId="164" xr:uid="{6DDC1A90-9ADC-45C4-A6A0-B3DD5FA9E254}"/>
    <cellStyle name="Total 7" xfId="165" xr:uid="{F352F5F3-1C34-4F11-B628-44175250B856}"/>
  </cellStyles>
  <dxfs count="1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colors>
    <mruColors>
      <color rgb="FFFFC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iagrams/_rels/data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6.svg"/></Relationships>
</file>

<file path=xl/diagrams/_rels/data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6.svg"/></Relationships>
</file>

<file path=xl/diagram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6.svg"/></Relationships>
</file>

<file path=xl/diagram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6.sv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CF128A1-BB53-4898-81B0-F05D69B68676}" type="doc">
      <dgm:prSet loTypeId="urn:microsoft.com/office/officeart/2005/8/layout/bList2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pt-BR"/>
        </a:p>
      </dgm:t>
    </dgm:pt>
    <dgm:pt modelId="{8FF1F3A1-B6F1-4F8C-80DE-98D95AE01D2D}">
      <dgm:prSet phldrT="[Texto]"/>
      <dgm:spPr>
        <a:solidFill>
          <a:schemeClr val="tx2"/>
        </a:solidFill>
      </dgm:spPr>
      <dgm:t>
        <a:bodyPr/>
        <a:lstStyle/>
        <a:p>
          <a:r>
            <a:rPr lang="pt-BR">
              <a:latin typeface="Montserrat" pitchFamily="2" charset="0"/>
            </a:rPr>
            <a:t>Fev-Mar</a:t>
          </a:r>
        </a:p>
      </dgm:t>
    </dgm:pt>
    <dgm:pt modelId="{923DBF88-F3F9-42C2-B46B-C7C626113A89}" type="parTrans" cxnId="{EF6109E3-8677-401D-9AC3-00C687BEA698}">
      <dgm:prSet/>
      <dgm:spPr/>
      <dgm:t>
        <a:bodyPr/>
        <a:lstStyle/>
        <a:p>
          <a:endParaRPr lang="pt-BR"/>
        </a:p>
      </dgm:t>
    </dgm:pt>
    <dgm:pt modelId="{675545F8-786E-4E90-AF8F-27CC53832394}" type="sibTrans" cxnId="{EF6109E3-8677-401D-9AC3-00C687BEA698}">
      <dgm:prSet/>
      <dgm:spPr/>
      <dgm:t>
        <a:bodyPr/>
        <a:lstStyle/>
        <a:p>
          <a:endParaRPr lang="pt-BR"/>
        </a:p>
      </dgm:t>
    </dgm:pt>
    <dgm:pt modelId="{CE45679B-1DD1-4706-A20A-373159BEC6FA}">
      <dgm:prSet phldrT="[Texto]" custT="1"/>
      <dgm:spPr/>
      <dgm:t>
        <a:bodyPr/>
        <a:lstStyle/>
        <a:p>
          <a:r>
            <a:rPr lang="pt-BR" sz="1600">
              <a:latin typeface="Montserrat" pitchFamily="2" charset="0"/>
            </a:rPr>
            <a:t>Sugere Objetivos e KPIs Individuais para o ano</a:t>
          </a:r>
        </a:p>
      </dgm:t>
    </dgm:pt>
    <dgm:pt modelId="{7CEAD81A-BC70-4FBF-88E0-A3D3B7B5D124}" type="parTrans" cxnId="{451E4C5F-07E2-405C-AE65-17B0326841CC}">
      <dgm:prSet/>
      <dgm:spPr/>
      <dgm:t>
        <a:bodyPr/>
        <a:lstStyle/>
        <a:p>
          <a:endParaRPr lang="pt-BR"/>
        </a:p>
      </dgm:t>
    </dgm:pt>
    <dgm:pt modelId="{416E9939-9935-431B-9099-DC6288235DC9}" type="sibTrans" cxnId="{451E4C5F-07E2-405C-AE65-17B0326841CC}">
      <dgm:prSet/>
      <dgm:spPr/>
      <dgm:t>
        <a:bodyPr/>
        <a:lstStyle/>
        <a:p>
          <a:endParaRPr lang="pt-BR"/>
        </a:p>
      </dgm:t>
    </dgm:pt>
    <dgm:pt modelId="{C89565FF-5A05-48EE-A9CA-6CAAE79E5AFB}">
      <dgm:prSet phldrT="[Texto]"/>
      <dgm:spPr>
        <a:solidFill>
          <a:schemeClr val="tx2"/>
        </a:solidFill>
      </dgm:spPr>
      <dgm:t>
        <a:bodyPr/>
        <a:lstStyle/>
        <a:p>
          <a:r>
            <a:rPr lang="pt-BR">
              <a:latin typeface="Montserrat" pitchFamily="2" charset="0"/>
            </a:rPr>
            <a:t>Jul-Ago</a:t>
          </a:r>
        </a:p>
      </dgm:t>
    </dgm:pt>
    <dgm:pt modelId="{8E694E81-BFE4-491A-9D8D-4E7EADE23B32}" type="parTrans" cxnId="{1964A146-E187-41DC-A34E-AFDB14B97414}">
      <dgm:prSet/>
      <dgm:spPr/>
      <dgm:t>
        <a:bodyPr/>
        <a:lstStyle/>
        <a:p>
          <a:endParaRPr lang="pt-BR"/>
        </a:p>
      </dgm:t>
    </dgm:pt>
    <dgm:pt modelId="{F24E8B11-66C0-4D41-AF9B-42B3702CCE8E}" type="sibTrans" cxnId="{1964A146-E187-41DC-A34E-AFDB14B97414}">
      <dgm:prSet/>
      <dgm:spPr/>
      <dgm:t>
        <a:bodyPr/>
        <a:lstStyle/>
        <a:p>
          <a:endParaRPr lang="pt-BR"/>
        </a:p>
      </dgm:t>
    </dgm:pt>
    <dgm:pt modelId="{F1D057B2-A308-4555-97B7-D4536F61069F}">
      <dgm:prSet phldrT="[Texto]" custT="1"/>
      <dgm:spPr/>
      <dgm:t>
        <a:bodyPr/>
        <a:lstStyle/>
        <a:p>
          <a:pPr>
            <a:buClr>
              <a:srgbClr val="000000"/>
            </a:buClr>
            <a:buSzPts val="1100"/>
            <a:buFont typeface="Calibri" panose="020F0502020204030204" pitchFamily="34" charset="0"/>
            <a:buNone/>
          </a:pPr>
          <a:r>
            <a:rPr lang="pt-BR" sz="1600">
              <a:latin typeface="Montserrat" pitchFamily="2" charset="0"/>
            </a:rPr>
            <a:t>Avaliação Intercalar</a:t>
          </a:r>
        </a:p>
      </dgm:t>
    </dgm:pt>
    <dgm:pt modelId="{1D413C57-B65B-4453-B8A0-EC7869DECBA2}" type="parTrans" cxnId="{D3A6A13F-8F72-4C23-BBC5-604CF1413A82}">
      <dgm:prSet/>
      <dgm:spPr/>
      <dgm:t>
        <a:bodyPr/>
        <a:lstStyle/>
        <a:p>
          <a:endParaRPr lang="pt-BR"/>
        </a:p>
      </dgm:t>
    </dgm:pt>
    <dgm:pt modelId="{71E73528-8F1E-4FF5-B6B1-34AB2E5B73B5}" type="sibTrans" cxnId="{D3A6A13F-8F72-4C23-BBC5-604CF1413A82}">
      <dgm:prSet/>
      <dgm:spPr/>
      <dgm:t>
        <a:bodyPr/>
        <a:lstStyle/>
        <a:p>
          <a:endParaRPr lang="pt-BR"/>
        </a:p>
      </dgm:t>
    </dgm:pt>
    <dgm:pt modelId="{91BB195C-7191-44D4-B5A4-29619CDD4552}">
      <dgm:prSet phldrT="[Texto]"/>
      <dgm:spPr>
        <a:solidFill>
          <a:schemeClr val="tx2"/>
        </a:solidFill>
      </dgm:spPr>
      <dgm:t>
        <a:bodyPr/>
        <a:lstStyle/>
        <a:p>
          <a:r>
            <a:rPr lang="pt-BR">
              <a:latin typeface="Montserrat" pitchFamily="2" charset="0"/>
            </a:rPr>
            <a:t>Dez</a:t>
          </a:r>
        </a:p>
      </dgm:t>
    </dgm:pt>
    <dgm:pt modelId="{7CDBE9A4-CE59-4BF8-9794-39CB5D65D727}" type="parTrans" cxnId="{83078913-F802-4113-BAC3-3AFB8C21974E}">
      <dgm:prSet/>
      <dgm:spPr/>
      <dgm:t>
        <a:bodyPr/>
        <a:lstStyle/>
        <a:p>
          <a:endParaRPr lang="pt-BR"/>
        </a:p>
      </dgm:t>
    </dgm:pt>
    <dgm:pt modelId="{2D51E736-E6BA-4BB0-BBD8-D59D4CA10B04}" type="sibTrans" cxnId="{83078913-F802-4113-BAC3-3AFB8C21974E}">
      <dgm:prSet/>
      <dgm:spPr/>
      <dgm:t>
        <a:bodyPr/>
        <a:lstStyle/>
        <a:p>
          <a:endParaRPr lang="pt-BR"/>
        </a:p>
      </dgm:t>
    </dgm:pt>
    <dgm:pt modelId="{5DCCD2B9-F794-47DF-B569-E4DCD888693A}">
      <dgm:prSet phldrT="[Texto]" custT="1"/>
      <dgm:spPr/>
      <dgm:t>
        <a:bodyPr/>
        <a:lstStyle/>
        <a:p>
          <a:r>
            <a:rPr lang="pt-BR" sz="1600">
              <a:latin typeface="Montserrat" pitchFamily="2" charset="0"/>
            </a:rPr>
            <a:t>Reve os KPIS individuais junto com a Liderança </a:t>
          </a:r>
        </a:p>
      </dgm:t>
    </dgm:pt>
    <dgm:pt modelId="{57C96292-A2BD-4BE4-8B72-3E740867823E}" type="parTrans" cxnId="{52940BE2-F2E1-42AF-88C7-113BF999C992}">
      <dgm:prSet/>
      <dgm:spPr/>
      <dgm:t>
        <a:bodyPr/>
        <a:lstStyle/>
        <a:p>
          <a:endParaRPr lang="pt-BR"/>
        </a:p>
      </dgm:t>
    </dgm:pt>
    <dgm:pt modelId="{37715BAC-FA77-4C33-9E92-B864319FF17A}" type="sibTrans" cxnId="{52940BE2-F2E1-42AF-88C7-113BF999C992}">
      <dgm:prSet/>
      <dgm:spPr/>
      <dgm:t>
        <a:bodyPr/>
        <a:lstStyle/>
        <a:p>
          <a:endParaRPr lang="pt-BR"/>
        </a:p>
      </dgm:t>
    </dgm:pt>
    <dgm:pt modelId="{CB940F72-FD35-4640-89F6-5935D921AF85}">
      <dgm:prSet phldrT="[Texto]" custT="1"/>
      <dgm:spPr/>
      <dgm:t>
        <a:bodyPr/>
        <a:lstStyle/>
        <a:p>
          <a:r>
            <a:rPr lang="pt-BR" sz="1600">
              <a:latin typeface="Montserrat" pitchFamily="2" charset="0"/>
            </a:rPr>
            <a:t>Realiza avaliação da chefia</a:t>
          </a:r>
        </a:p>
      </dgm:t>
    </dgm:pt>
    <dgm:pt modelId="{BB0FEDA8-5B90-4B98-91FC-049CAEC12482}" type="parTrans" cxnId="{209A962F-F323-4720-A8D8-324A7C9100A8}">
      <dgm:prSet/>
      <dgm:spPr/>
      <dgm:t>
        <a:bodyPr/>
        <a:lstStyle/>
        <a:p>
          <a:endParaRPr lang="pt-BR"/>
        </a:p>
      </dgm:t>
    </dgm:pt>
    <dgm:pt modelId="{D0AB0E99-B68E-4037-B06F-83036FC1A026}" type="sibTrans" cxnId="{209A962F-F323-4720-A8D8-324A7C9100A8}">
      <dgm:prSet/>
      <dgm:spPr/>
      <dgm:t>
        <a:bodyPr/>
        <a:lstStyle/>
        <a:p>
          <a:endParaRPr lang="pt-BR"/>
        </a:p>
      </dgm:t>
    </dgm:pt>
    <dgm:pt modelId="{6A09F69D-582C-47B3-9373-7538421A146E}">
      <dgm:prSet phldrT="[Texto]"/>
      <dgm:spPr>
        <a:solidFill>
          <a:schemeClr val="tx2"/>
        </a:solidFill>
      </dgm:spPr>
      <dgm:t>
        <a:bodyPr/>
        <a:lstStyle/>
        <a:p>
          <a:r>
            <a:rPr lang="pt-BR">
              <a:latin typeface="Montserrat" pitchFamily="2" charset="0"/>
            </a:rPr>
            <a:t>Jan</a:t>
          </a:r>
        </a:p>
      </dgm:t>
    </dgm:pt>
    <dgm:pt modelId="{4D79CF54-3B9A-408C-9981-74576F434143}" type="sibTrans" cxnId="{E1EB2109-AA1D-4FDA-AE37-E6360B79031C}">
      <dgm:prSet/>
      <dgm:spPr/>
      <dgm:t>
        <a:bodyPr/>
        <a:lstStyle/>
        <a:p>
          <a:endParaRPr lang="pt-BR"/>
        </a:p>
      </dgm:t>
    </dgm:pt>
    <dgm:pt modelId="{324F1326-44D0-455E-BBA9-80FFE1F45193}" type="parTrans" cxnId="{E1EB2109-AA1D-4FDA-AE37-E6360B79031C}">
      <dgm:prSet/>
      <dgm:spPr/>
      <dgm:t>
        <a:bodyPr/>
        <a:lstStyle/>
        <a:p>
          <a:endParaRPr lang="pt-BR"/>
        </a:p>
      </dgm:t>
    </dgm:pt>
    <dgm:pt modelId="{F3D820A9-AD44-45B9-B4A6-34E2EA419CD4}">
      <dgm:prSet phldrT="[Texto]" custT="1"/>
      <dgm:spPr/>
      <dgm:t>
        <a:bodyPr/>
        <a:lstStyle/>
        <a:p>
          <a:r>
            <a:rPr lang="pt-BR" sz="1600">
              <a:latin typeface="Montserrat" pitchFamily="2" charset="0"/>
            </a:rPr>
            <a:t>Reflete o ciclo anterior</a:t>
          </a:r>
        </a:p>
      </dgm:t>
    </dgm:pt>
    <dgm:pt modelId="{256DA0CB-F274-4EA2-A5E9-0EE5C0A4CBFD}" type="sibTrans" cxnId="{60E323EF-AA92-4877-AED5-B2B7A991C2D2}">
      <dgm:prSet/>
      <dgm:spPr/>
      <dgm:t>
        <a:bodyPr/>
        <a:lstStyle/>
        <a:p>
          <a:endParaRPr lang="pt-BR"/>
        </a:p>
      </dgm:t>
    </dgm:pt>
    <dgm:pt modelId="{DA4AA586-FCCB-4715-8F76-1975ACBF2F20}" type="parTrans" cxnId="{60E323EF-AA92-4877-AED5-B2B7A991C2D2}">
      <dgm:prSet/>
      <dgm:spPr/>
      <dgm:t>
        <a:bodyPr/>
        <a:lstStyle/>
        <a:p>
          <a:endParaRPr lang="pt-BR"/>
        </a:p>
      </dgm:t>
    </dgm:pt>
    <dgm:pt modelId="{C3B742A8-3AAC-49D3-B705-FCBD96E22EE1}">
      <dgm:prSet phldrT="[Texto]" custT="1"/>
      <dgm:spPr/>
      <dgm:t>
        <a:bodyPr/>
        <a:lstStyle/>
        <a:p>
          <a:r>
            <a:rPr lang="pt-BR" sz="1600">
              <a:latin typeface="Montserrat" pitchFamily="2" charset="0"/>
            </a:rPr>
            <a:t>Avalia as competencias comportamentais</a:t>
          </a:r>
        </a:p>
      </dgm:t>
    </dgm:pt>
    <dgm:pt modelId="{45E91E6E-CAC1-4F1E-9E63-C26E4989DB56}" type="sibTrans" cxnId="{BD66073E-44A1-4514-87FD-C766F6E28E43}">
      <dgm:prSet/>
      <dgm:spPr/>
      <dgm:t>
        <a:bodyPr/>
        <a:lstStyle/>
        <a:p>
          <a:endParaRPr lang="pt-BR"/>
        </a:p>
      </dgm:t>
    </dgm:pt>
    <dgm:pt modelId="{F5FADD3F-3D4E-401B-AF43-A73439EAD694}" type="parTrans" cxnId="{BD66073E-44A1-4514-87FD-C766F6E28E43}">
      <dgm:prSet/>
      <dgm:spPr/>
      <dgm:t>
        <a:bodyPr/>
        <a:lstStyle/>
        <a:p>
          <a:endParaRPr lang="pt-BR"/>
        </a:p>
      </dgm:t>
    </dgm:pt>
    <dgm:pt modelId="{4A2B4370-B5C1-4EA6-8B0B-4F38134297B9}">
      <dgm:prSet phldrT="[Texto]" custT="1"/>
      <dgm:spPr/>
      <dgm:t>
        <a:bodyPr/>
        <a:lstStyle/>
        <a:p>
          <a:r>
            <a:rPr lang="pt-BR" sz="1600">
              <a:latin typeface="Montserrat" pitchFamily="2" charset="0"/>
            </a:rPr>
            <a:t>Reflete sobre evolução, interesses e necessidades para o próximo ciclo.</a:t>
          </a:r>
        </a:p>
      </dgm:t>
    </dgm:pt>
    <dgm:pt modelId="{D681D6DF-ED50-4BB4-96FD-6D543B9A7FA0}" type="parTrans" cxnId="{48C321D8-CFCC-4B9A-9D01-B12659E1FE29}">
      <dgm:prSet/>
      <dgm:spPr/>
      <dgm:t>
        <a:bodyPr/>
        <a:lstStyle/>
        <a:p>
          <a:endParaRPr lang="pt-BR"/>
        </a:p>
      </dgm:t>
    </dgm:pt>
    <dgm:pt modelId="{281E1B06-70E4-4853-A44E-BBBBA81631DF}" type="sibTrans" cxnId="{48C321D8-CFCC-4B9A-9D01-B12659E1FE29}">
      <dgm:prSet/>
      <dgm:spPr/>
      <dgm:t>
        <a:bodyPr/>
        <a:lstStyle/>
        <a:p>
          <a:endParaRPr lang="pt-BR"/>
        </a:p>
      </dgm:t>
    </dgm:pt>
    <dgm:pt modelId="{0F118B97-040C-49EE-8ADE-408FA6AF075E}" type="pres">
      <dgm:prSet presAssocID="{4CF128A1-BB53-4898-81B0-F05D69B68676}" presName="diagram" presStyleCnt="0">
        <dgm:presLayoutVars>
          <dgm:dir/>
          <dgm:animLvl val="lvl"/>
          <dgm:resizeHandles val="exact"/>
        </dgm:presLayoutVars>
      </dgm:prSet>
      <dgm:spPr/>
    </dgm:pt>
    <dgm:pt modelId="{36A211D0-AC85-4235-82B3-2863248E9A45}" type="pres">
      <dgm:prSet presAssocID="{6A09F69D-582C-47B3-9373-7538421A146E}" presName="compNode" presStyleCnt="0"/>
      <dgm:spPr/>
    </dgm:pt>
    <dgm:pt modelId="{D2A2B50A-42AF-4523-B04E-CC3396A2EBE9}" type="pres">
      <dgm:prSet presAssocID="{6A09F69D-582C-47B3-9373-7538421A146E}" presName="childRect" presStyleLbl="bgAcc1" presStyleIdx="0" presStyleCnt="4">
        <dgm:presLayoutVars>
          <dgm:bulletEnabled val="1"/>
        </dgm:presLayoutVars>
      </dgm:prSet>
      <dgm:spPr/>
    </dgm:pt>
    <dgm:pt modelId="{3B68DC44-FE86-48C0-988B-818F6E3E51E4}" type="pres">
      <dgm:prSet presAssocID="{6A09F69D-582C-47B3-9373-7538421A146E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2CDC5007-FEB6-41AB-85AF-3F098BACE295}" type="pres">
      <dgm:prSet presAssocID="{6A09F69D-582C-47B3-9373-7538421A146E}" presName="parentRect" presStyleLbl="alignNode1" presStyleIdx="0" presStyleCnt="4"/>
      <dgm:spPr/>
    </dgm:pt>
    <dgm:pt modelId="{E8CACFFA-26B5-466A-8CFF-3F62E80AB7BC}" type="pres">
      <dgm:prSet presAssocID="{6A09F69D-582C-47B3-9373-7538421A146E}" presName="adorn" presStyleLbl="fgAccFollowNode1" presStyleIdx="0" presStyleCnt="4"/>
      <dgm:spPr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Selo 1 estrutura de tópicos"/>
        </a:ext>
      </dgm:extLst>
    </dgm:pt>
    <dgm:pt modelId="{792B6E6F-CDEC-43B3-BB6F-FF5DA2F60607}" type="pres">
      <dgm:prSet presAssocID="{4D79CF54-3B9A-408C-9981-74576F434143}" presName="sibTrans" presStyleLbl="sibTrans2D1" presStyleIdx="0" presStyleCnt="0"/>
      <dgm:spPr/>
    </dgm:pt>
    <dgm:pt modelId="{82284903-EF71-4A20-9B1C-0DE2559F9473}" type="pres">
      <dgm:prSet presAssocID="{8FF1F3A1-B6F1-4F8C-80DE-98D95AE01D2D}" presName="compNode" presStyleCnt="0"/>
      <dgm:spPr/>
    </dgm:pt>
    <dgm:pt modelId="{0D928639-4161-4986-A86B-287AD88DD5E4}" type="pres">
      <dgm:prSet presAssocID="{8FF1F3A1-B6F1-4F8C-80DE-98D95AE01D2D}" presName="childRect" presStyleLbl="bgAcc1" presStyleIdx="1" presStyleCnt="4">
        <dgm:presLayoutVars>
          <dgm:bulletEnabled val="1"/>
        </dgm:presLayoutVars>
      </dgm:prSet>
      <dgm:spPr/>
    </dgm:pt>
    <dgm:pt modelId="{D3F59508-1F3E-4099-A19E-4A74DDFCA15C}" type="pres">
      <dgm:prSet presAssocID="{8FF1F3A1-B6F1-4F8C-80DE-98D95AE01D2D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B973CE5C-2EA8-4C60-A52A-C53EFBE31A66}" type="pres">
      <dgm:prSet presAssocID="{8FF1F3A1-B6F1-4F8C-80DE-98D95AE01D2D}" presName="parentRect" presStyleLbl="alignNode1" presStyleIdx="1" presStyleCnt="4"/>
      <dgm:spPr/>
    </dgm:pt>
    <dgm:pt modelId="{39EF9509-BD59-44C1-A9A5-99B093DF6732}" type="pres">
      <dgm:prSet presAssocID="{8FF1F3A1-B6F1-4F8C-80DE-98D95AE01D2D}" presName="adorn" presStyleLbl="fgAccFollowNode1" presStyleIdx="1" presStyleCnt="4"/>
      <dgm:spPr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Crachá estrutura de tópicos"/>
        </a:ext>
      </dgm:extLst>
    </dgm:pt>
    <dgm:pt modelId="{513E2955-F3DC-4376-853B-D5238D632838}" type="pres">
      <dgm:prSet presAssocID="{675545F8-786E-4E90-AF8F-27CC53832394}" presName="sibTrans" presStyleLbl="sibTrans2D1" presStyleIdx="0" presStyleCnt="0"/>
      <dgm:spPr/>
    </dgm:pt>
    <dgm:pt modelId="{0EDAD361-AB4A-42CF-90F0-85A9C71D52FC}" type="pres">
      <dgm:prSet presAssocID="{C89565FF-5A05-48EE-A9CA-6CAAE79E5AFB}" presName="compNode" presStyleCnt="0"/>
      <dgm:spPr/>
    </dgm:pt>
    <dgm:pt modelId="{6839E8D7-86B8-4E27-91CB-506974A05471}" type="pres">
      <dgm:prSet presAssocID="{C89565FF-5A05-48EE-A9CA-6CAAE79E5AFB}" presName="childRect" presStyleLbl="bgAcc1" presStyleIdx="2" presStyleCnt="4">
        <dgm:presLayoutVars>
          <dgm:bulletEnabled val="1"/>
        </dgm:presLayoutVars>
      </dgm:prSet>
      <dgm:spPr/>
    </dgm:pt>
    <dgm:pt modelId="{69F56C91-46E8-4017-B371-A34C9B45D124}" type="pres">
      <dgm:prSet presAssocID="{C89565FF-5A05-48EE-A9CA-6CAAE79E5AFB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558E5F9D-1A94-4867-9E2C-25EAAAD69326}" type="pres">
      <dgm:prSet presAssocID="{C89565FF-5A05-48EE-A9CA-6CAAE79E5AFB}" presName="parentRect" presStyleLbl="alignNode1" presStyleIdx="2" presStyleCnt="4"/>
      <dgm:spPr/>
    </dgm:pt>
    <dgm:pt modelId="{77C14186-35A7-43BD-9445-9F43ECE7A4C8}" type="pres">
      <dgm:prSet presAssocID="{C89565FF-5A05-48EE-A9CA-6CAAE79E5AFB}" presName="adorn" presStyleLbl="fgAccFollowNode1" presStyleIdx="2" presStyleCnt="4"/>
      <dgm:spPr>
        <a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Selo 3 estrutura de tópicos"/>
        </a:ext>
      </dgm:extLst>
    </dgm:pt>
    <dgm:pt modelId="{EE6903A5-2E77-4C8F-9C2D-545D4E922951}" type="pres">
      <dgm:prSet presAssocID="{F24E8B11-66C0-4D41-AF9B-42B3702CCE8E}" presName="sibTrans" presStyleLbl="sibTrans2D1" presStyleIdx="0" presStyleCnt="0"/>
      <dgm:spPr/>
    </dgm:pt>
    <dgm:pt modelId="{A4C92BE4-69DB-49A1-8C7A-EA8C6BBC55A5}" type="pres">
      <dgm:prSet presAssocID="{91BB195C-7191-44D4-B5A4-29619CDD4552}" presName="compNode" presStyleCnt="0"/>
      <dgm:spPr/>
    </dgm:pt>
    <dgm:pt modelId="{99E58898-9608-4DFF-ABCC-0972528953FF}" type="pres">
      <dgm:prSet presAssocID="{91BB195C-7191-44D4-B5A4-29619CDD4552}" presName="childRect" presStyleLbl="bgAcc1" presStyleIdx="3" presStyleCnt="4">
        <dgm:presLayoutVars>
          <dgm:bulletEnabled val="1"/>
        </dgm:presLayoutVars>
      </dgm:prSet>
      <dgm:spPr/>
    </dgm:pt>
    <dgm:pt modelId="{CC27C853-6F91-4CD1-9702-66670E22DBF1}" type="pres">
      <dgm:prSet presAssocID="{91BB195C-7191-44D4-B5A4-29619CDD4552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324B820C-BB7C-4F2F-88C3-8A607CEC4E47}" type="pres">
      <dgm:prSet presAssocID="{91BB195C-7191-44D4-B5A4-29619CDD4552}" presName="parentRect" presStyleLbl="alignNode1" presStyleIdx="3" presStyleCnt="4"/>
      <dgm:spPr/>
    </dgm:pt>
    <dgm:pt modelId="{7BAFAA5A-D050-4F3E-A648-7EE2A89A660D}" type="pres">
      <dgm:prSet presAssocID="{91BB195C-7191-44D4-B5A4-29619CDD4552}" presName="adorn" presStyleLbl="fgAccFollowNode1" presStyleIdx="3" presStyleCnt="4"/>
      <dgm:spPr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Selo 4 estrutura de tópicos"/>
        </a:ext>
      </dgm:extLst>
    </dgm:pt>
  </dgm:ptLst>
  <dgm:cxnLst>
    <dgm:cxn modelId="{E1EB2109-AA1D-4FDA-AE37-E6360B79031C}" srcId="{4CF128A1-BB53-4898-81B0-F05D69B68676}" destId="{6A09F69D-582C-47B3-9373-7538421A146E}" srcOrd="0" destOrd="0" parTransId="{324F1326-44D0-455E-BBA9-80FFE1F45193}" sibTransId="{4D79CF54-3B9A-408C-9981-74576F434143}"/>
    <dgm:cxn modelId="{83078913-F802-4113-BAC3-3AFB8C21974E}" srcId="{4CF128A1-BB53-4898-81B0-F05D69B68676}" destId="{91BB195C-7191-44D4-B5A4-29619CDD4552}" srcOrd="3" destOrd="0" parTransId="{7CDBE9A4-CE59-4BF8-9794-39CB5D65D727}" sibTransId="{2D51E736-E6BA-4BB0-BBD8-D59D4CA10B04}"/>
    <dgm:cxn modelId="{78821B1D-9680-4797-8B27-A04623AFE808}" type="presOf" srcId="{6A09F69D-582C-47B3-9373-7538421A146E}" destId="{3B68DC44-FE86-48C0-988B-818F6E3E51E4}" srcOrd="0" destOrd="0" presId="urn:microsoft.com/office/officeart/2005/8/layout/bList2"/>
    <dgm:cxn modelId="{6DB7A023-520A-4CDD-8E4B-F1B29A11812D}" type="presOf" srcId="{4A2B4370-B5C1-4EA6-8B0B-4F38134297B9}" destId="{99E58898-9608-4DFF-ABCC-0972528953FF}" srcOrd="0" destOrd="1" presId="urn:microsoft.com/office/officeart/2005/8/layout/bList2"/>
    <dgm:cxn modelId="{5FA33528-2E3C-4881-8BC7-7EE4A27C3571}" type="presOf" srcId="{CB940F72-FD35-4640-89F6-5935D921AF85}" destId="{99E58898-9608-4DFF-ABCC-0972528953FF}" srcOrd="0" destOrd="0" presId="urn:microsoft.com/office/officeart/2005/8/layout/bList2"/>
    <dgm:cxn modelId="{EE7B102B-2220-4B8B-A68E-7D5F9BFC478D}" type="presOf" srcId="{6A09F69D-582C-47B3-9373-7538421A146E}" destId="{2CDC5007-FEB6-41AB-85AF-3F098BACE295}" srcOrd="1" destOrd="0" presId="urn:microsoft.com/office/officeart/2005/8/layout/bList2"/>
    <dgm:cxn modelId="{209A962F-F323-4720-A8D8-324A7C9100A8}" srcId="{91BB195C-7191-44D4-B5A4-29619CDD4552}" destId="{CB940F72-FD35-4640-89F6-5935D921AF85}" srcOrd="0" destOrd="0" parTransId="{BB0FEDA8-5B90-4B98-91FC-049CAEC12482}" sibTransId="{D0AB0E99-B68E-4037-B06F-83036FC1A026}"/>
    <dgm:cxn modelId="{C7F5F038-D45C-4F7B-8F1C-633ED7AAA784}" type="presOf" srcId="{8FF1F3A1-B6F1-4F8C-80DE-98D95AE01D2D}" destId="{D3F59508-1F3E-4099-A19E-4A74DDFCA15C}" srcOrd="0" destOrd="0" presId="urn:microsoft.com/office/officeart/2005/8/layout/bList2"/>
    <dgm:cxn modelId="{BD66073E-44A1-4514-87FD-C766F6E28E43}" srcId="{6A09F69D-582C-47B3-9373-7538421A146E}" destId="{C3B742A8-3AAC-49D3-B705-FCBD96E22EE1}" srcOrd="1" destOrd="0" parTransId="{F5FADD3F-3D4E-401B-AF43-A73439EAD694}" sibTransId="{45E91E6E-CAC1-4F1E-9E63-C26E4989DB56}"/>
    <dgm:cxn modelId="{D3A6A13F-8F72-4C23-BBC5-604CF1413A82}" srcId="{C89565FF-5A05-48EE-A9CA-6CAAE79E5AFB}" destId="{F1D057B2-A308-4555-97B7-D4536F61069F}" srcOrd="0" destOrd="0" parTransId="{1D413C57-B65B-4453-B8A0-EC7869DECBA2}" sibTransId="{71E73528-8F1E-4FF5-B6B1-34AB2E5B73B5}"/>
    <dgm:cxn modelId="{97C2CA5B-D129-4A91-8A72-91D468D38701}" type="presOf" srcId="{4CF128A1-BB53-4898-81B0-F05D69B68676}" destId="{0F118B97-040C-49EE-8ADE-408FA6AF075E}" srcOrd="0" destOrd="0" presId="urn:microsoft.com/office/officeart/2005/8/layout/bList2"/>
    <dgm:cxn modelId="{451E4C5F-07E2-405C-AE65-17B0326841CC}" srcId="{8FF1F3A1-B6F1-4F8C-80DE-98D95AE01D2D}" destId="{CE45679B-1DD1-4706-A20A-373159BEC6FA}" srcOrd="0" destOrd="0" parTransId="{7CEAD81A-BC70-4FBF-88E0-A3D3B7B5D124}" sibTransId="{416E9939-9935-431B-9099-DC6288235DC9}"/>
    <dgm:cxn modelId="{1964A146-E187-41DC-A34E-AFDB14B97414}" srcId="{4CF128A1-BB53-4898-81B0-F05D69B68676}" destId="{C89565FF-5A05-48EE-A9CA-6CAAE79E5AFB}" srcOrd="2" destOrd="0" parTransId="{8E694E81-BFE4-491A-9D8D-4E7EADE23B32}" sibTransId="{F24E8B11-66C0-4D41-AF9B-42B3702CCE8E}"/>
    <dgm:cxn modelId="{BCE4F54E-CFC8-428A-8701-7D75B575EABA}" type="presOf" srcId="{F3D820A9-AD44-45B9-B4A6-34E2EA419CD4}" destId="{D2A2B50A-42AF-4523-B04E-CC3396A2EBE9}" srcOrd="0" destOrd="0" presId="urn:microsoft.com/office/officeart/2005/8/layout/bList2"/>
    <dgm:cxn modelId="{A2BF2676-CA5B-439E-8584-15FC915B83D6}" type="presOf" srcId="{CE45679B-1DD1-4706-A20A-373159BEC6FA}" destId="{0D928639-4161-4986-A86B-287AD88DD5E4}" srcOrd="0" destOrd="0" presId="urn:microsoft.com/office/officeart/2005/8/layout/bList2"/>
    <dgm:cxn modelId="{871BF759-5AD7-4EEF-A74A-BC0981A2C985}" type="presOf" srcId="{8FF1F3A1-B6F1-4F8C-80DE-98D95AE01D2D}" destId="{B973CE5C-2EA8-4C60-A52A-C53EFBE31A66}" srcOrd="1" destOrd="0" presId="urn:microsoft.com/office/officeart/2005/8/layout/bList2"/>
    <dgm:cxn modelId="{A621409C-9D51-46F3-9D0C-123447516F63}" type="presOf" srcId="{C89565FF-5A05-48EE-A9CA-6CAAE79E5AFB}" destId="{69F56C91-46E8-4017-B371-A34C9B45D124}" srcOrd="0" destOrd="0" presId="urn:microsoft.com/office/officeart/2005/8/layout/bList2"/>
    <dgm:cxn modelId="{24DD23A9-07B9-4EF2-92F4-230E47897535}" type="presOf" srcId="{91BB195C-7191-44D4-B5A4-29619CDD4552}" destId="{CC27C853-6F91-4CD1-9702-66670E22DBF1}" srcOrd="0" destOrd="0" presId="urn:microsoft.com/office/officeart/2005/8/layout/bList2"/>
    <dgm:cxn modelId="{4BE30AB9-18D8-4542-8B1D-3AF473A184DC}" type="presOf" srcId="{675545F8-786E-4E90-AF8F-27CC53832394}" destId="{513E2955-F3DC-4376-853B-D5238D632838}" srcOrd="0" destOrd="0" presId="urn:microsoft.com/office/officeart/2005/8/layout/bList2"/>
    <dgm:cxn modelId="{102D48CC-61C3-488C-81ED-F0F11514BEF8}" type="presOf" srcId="{F1D057B2-A308-4555-97B7-D4536F61069F}" destId="{6839E8D7-86B8-4E27-91CB-506974A05471}" srcOrd="0" destOrd="0" presId="urn:microsoft.com/office/officeart/2005/8/layout/bList2"/>
    <dgm:cxn modelId="{48C321D8-CFCC-4B9A-9D01-B12659E1FE29}" srcId="{91BB195C-7191-44D4-B5A4-29619CDD4552}" destId="{4A2B4370-B5C1-4EA6-8B0B-4F38134297B9}" srcOrd="1" destOrd="0" parTransId="{D681D6DF-ED50-4BB4-96FD-6D543B9A7FA0}" sibTransId="{281E1B06-70E4-4853-A44E-BBBBA81631DF}"/>
    <dgm:cxn modelId="{2A63C7DF-AB65-40C8-A36D-45F8B366D7FF}" type="presOf" srcId="{F24E8B11-66C0-4D41-AF9B-42B3702CCE8E}" destId="{EE6903A5-2E77-4C8F-9C2D-545D4E922951}" srcOrd="0" destOrd="0" presId="urn:microsoft.com/office/officeart/2005/8/layout/bList2"/>
    <dgm:cxn modelId="{24C135E1-348F-4F33-B490-81253ABE1877}" type="presOf" srcId="{4D79CF54-3B9A-408C-9981-74576F434143}" destId="{792B6E6F-CDEC-43B3-BB6F-FF5DA2F60607}" srcOrd="0" destOrd="0" presId="urn:microsoft.com/office/officeart/2005/8/layout/bList2"/>
    <dgm:cxn modelId="{52940BE2-F2E1-42AF-88C7-113BF999C992}" srcId="{C89565FF-5A05-48EE-A9CA-6CAAE79E5AFB}" destId="{5DCCD2B9-F794-47DF-B569-E4DCD888693A}" srcOrd="1" destOrd="0" parTransId="{57C96292-A2BD-4BE4-8B72-3E740867823E}" sibTransId="{37715BAC-FA77-4C33-9E92-B864319FF17A}"/>
    <dgm:cxn modelId="{EF6109E3-8677-401D-9AC3-00C687BEA698}" srcId="{4CF128A1-BB53-4898-81B0-F05D69B68676}" destId="{8FF1F3A1-B6F1-4F8C-80DE-98D95AE01D2D}" srcOrd="1" destOrd="0" parTransId="{923DBF88-F3F9-42C2-B46B-C7C626113A89}" sibTransId="{675545F8-786E-4E90-AF8F-27CC53832394}"/>
    <dgm:cxn modelId="{EBD1B5E9-3E69-4B50-8083-24FCB23B0013}" type="presOf" srcId="{91BB195C-7191-44D4-B5A4-29619CDD4552}" destId="{324B820C-BB7C-4F2F-88C3-8A607CEC4E47}" srcOrd="1" destOrd="0" presId="urn:microsoft.com/office/officeart/2005/8/layout/bList2"/>
    <dgm:cxn modelId="{54BC1BED-CC47-4423-8310-20126E2BE168}" type="presOf" srcId="{5DCCD2B9-F794-47DF-B569-E4DCD888693A}" destId="{6839E8D7-86B8-4E27-91CB-506974A05471}" srcOrd="0" destOrd="1" presId="urn:microsoft.com/office/officeart/2005/8/layout/bList2"/>
    <dgm:cxn modelId="{60E323EF-AA92-4877-AED5-B2B7A991C2D2}" srcId="{6A09F69D-582C-47B3-9373-7538421A146E}" destId="{F3D820A9-AD44-45B9-B4A6-34E2EA419CD4}" srcOrd="0" destOrd="0" parTransId="{DA4AA586-FCCB-4715-8F76-1975ACBF2F20}" sibTransId="{256DA0CB-F274-4EA2-A5E9-0EE5C0A4CBFD}"/>
    <dgm:cxn modelId="{E82619F0-944F-4167-BE3E-CE54109A4931}" type="presOf" srcId="{C89565FF-5A05-48EE-A9CA-6CAAE79E5AFB}" destId="{558E5F9D-1A94-4867-9E2C-25EAAAD69326}" srcOrd="1" destOrd="0" presId="urn:microsoft.com/office/officeart/2005/8/layout/bList2"/>
    <dgm:cxn modelId="{73B8ABF4-FAF3-49FD-908C-6D6CAF44304E}" type="presOf" srcId="{C3B742A8-3AAC-49D3-B705-FCBD96E22EE1}" destId="{D2A2B50A-42AF-4523-B04E-CC3396A2EBE9}" srcOrd="0" destOrd="1" presId="urn:microsoft.com/office/officeart/2005/8/layout/bList2"/>
    <dgm:cxn modelId="{07FF9103-601F-47A3-8131-8ED4CF868F22}" type="presParOf" srcId="{0F118B97-040C-49EE-8ADE-408FA6AF075E}" destId="{36A211D0-AC85-4235-82B3-2863248E9A45}" srcOrd="0" destOrd="0" presId="urn:microsoft.com/office/officeart/2005/8/layout/bList2"/>
    <dgm:cxn modelId="{EDE030D7-DB34-4220-A398-98CE57EF94B0}" type="presParOf" srcId="{36A211D0-AC85-4235-82B3-2863248E9A45}" destId="{D2A2B50A-42AF-4523-B04E-CC3396A2EBE9}" srcOrd="0" destOrd="0" presId="urn:microsoft.com/office/officeart/2005/8/layout/bList2"/>
    <dgm:cxn modelId="{6E366287-3039-4CC1-B1C2-63E5B250DC89}" type="presParOf" srcId="{36A211D0-AC85-4235-82B3-2863248E9A45}" destId="{3B68DC44-FE86-48C0-988B-818F6E3E51E4}" srcOrd="1" destOrd="0" presId="urn:microsoft.com/office/officeart/2005/8/layout/bList2"/>
    <dgm:cxn modelId="{526FBBAB-BCE6-41BE-A01D-5DE05382EBDD}" type="presParOf" srcId="{36A211D0-AC85-4235-82B3-2863248E9A45}" destId="{2CDC5007-FEB6-41AB-85AF-3F098BACE295}" srcOrd="2" destOrd="0" presId="urn:microsoft.com/office/officeart/2005/8/layout/bList2"/>
    <dgm:cxn modelId="{B40C2604-1266-46EE-93EB-89986FBB08D0}" type="presParOf" srcId="{36A211D0-AC85-4235-82B3-2863248E9A45}" destId="{E8CACFFA-26B5-466A-8CFF-3F62E80AB7BC}" srcOrd="3" destOrd="0" presId="urn:microsoft.com/office/officeart/2005/8/layout/bList2"/>
    <dgm:cxn modelId="{D02E53B3-372A-4228-92E5-437CC3FA2282}" type="presParOf" srcId="{0F118B97-040C-49EE-8ADE-408FA6AF075E}" destId="{792B6E6F-CDEC-43B3-BB6F-FF5DA2F60607}" srcOrd="1" destOrd="0" presId="urn:microsoft.com/office/officeart/2005/8/layout/bList2"/>
    <dgm:cxn modelId="{86394B16-F5E9-49AB-9467-B1AA56286718}" type="presParOf" srcId="{0F118B97-040C-49EE-8ADE-408FA6AF075E}" destId="{82284903-EF71-4A20-9B1C-0DE2559F9473}" srcOrd="2" destOrd="0" presId="urn:microsoft.com/office/officeart/2005/8/layout/bList2"/>
    <dgm:cxn modelId="{21ABA76A-4BD0-4872-A133-FDD8CCDC547E}" type="presParOf" srcId="{82284903-EF71-4A20-9B1C-0DE2559F9473}" destId="{0D928639-4161-4986-A86B-287AD88DD5E4}" srcOrd="0" destOrd="0" presId="urn:microsoft.com/office/officeart/2005/8/layout/bList2"/>
    <dgm:cxn modelId="{56DC7F9F-0775-4EE9-883F-B67E0A6177D2}" type="presParOf" srcId="{82284903-EF71-4A20-9B1C-0DE2559F9473}" destId="{D3F59508-1F3E-4099-A19E-4A74DDFCA15C}" srcOrd="1" destOrd="0" presId="urn:microsoft.com/office/officeart/2005/8/layout/bList2"/>
    <dgm:cxn modelId="{20A99CDB-20E3-4322-98FD-A84017862B1E}" type="presParOf" srcId="{82284903-EF71-4A20-9B1C-0DE2559F9473}" destId="{B973CE5C-2EA8-4C60-A52A-C53EFBE31A66}" srcOrd="2" destOrd="0" presId="urn:microsoft.com/office/officeart/2005/8/layout/bList2"/>
    <dgm:cxn modelId="{43C30D0E-D520-4213-88EC-8CFA5842E3DC}" type="presParOf" srcId="{82284903-EF71-4A20-9B1C-0DE2559F9473}" destId="{39EF9509-BD59-44C1-A9A5-99B093DF6732}" srcOrd="3" destOrd="0" presId="urn:microsoft.com/office/officeart/2005/8/layout/bList2"/>
    <dgm:cxn modelId="{59435D00-2CC7-414F-8984-366AE45A0F3B}" type="presParOf" srcId="{0F118B97-040C-49EE-8ADE-408FA6AF075E}" destId="{513E2955-F3DC-4376-853B-D5238D632838}" srcOrd="3" destOrd="0" presId="urn:microsoft.com/office/officeart/2005/8/layout/bList2"/>
    <dgm:cxn modelId="{A5A76A0F-CC69-4DA8-8BF1-EBFC49A8F25F}" type="presParOf" srcId="{0F118B97-040C-49EE-8ADE-408FA6AF075E}" destId="{0EDAD361-AB4A-42CF-90F0-85A9C71D52FC}" srcOrd="4" destOrd="0" presId="urn:microsoft.com/office/officeart/2005/8/layout/bList2"/>
    <dgm:cxn modelId="{E459E1FA-F2C4-4141-A581-7D7B0A2FFFCF}" type="presParOf" srcId="{0EDAD361-AB4A-42CF-90F0-85A9C71D52FC}" destId="{6839E8D7-86B8-4E27-91CB-506974A05471}" srcOrd="0" destOrd="0" presId="urn:microsoft.com/office/officeart/2005/8/layout/bList2"/>
    <dgm:cxn modelId="{1AAF9A6E-8E11-4BE2-A187-7E3B6425324B}" type="presParOf" srcId="{0EDAD361-AB4A-42CF-90F0-85A9C71D52FC}" destId="{69F56C91-46E8-4017-B371-A34C9B45D124}" srcOrd="1" destOrd="0" presId="urn:microsoft.com/office/officeart/2005/8/layout/bList2"/>
    <dgm:cxn modelId="{33BE0CBF-6F81-4F97-830A-E89F835EFD3D}" type="presParOf" srcId="{0EDAD361-AB4A-42CF-90F0-85A9C71D52FC}" destId="{558E5F9D-1A94-4867-9E2C-25EAAAD69326}" srcOrd="2" destOrd="0" presId="urn:microsoft.com/office/officeart/2005/8/layout/bList2"/>
    <dgm:cxn modelId="{F47E6FF7-8DDF-4AD5-889A-215D04ECD914}" type="presParOf" srcId="{0EDAD361-AB4A-42CF-90F0-85A9C71D52FC}" destId="{77C14186-35A7-43BD-9445-9F43ECE7A4C8}" srcOrd="3" destOrd="0" presId="urn:microsoft.com/office/officeart/2005/8/layout/bList2"/>
    <dgm:cxn modelId="{4251961B-2EDF-4BAF-ADF6-2F786AC543CA}" type="presParOf" srcId="{0F118B97-040C-49EE-8ADE-408FA6AF075E}" destId="{EE6903A5-2E77-4C8F-9C2D-545D4E922951}" srcOrd="5" destOrd="0" presId="urn:microsoft.com/office/officeart/2005/8/layout/bList2"/>
    <dgm:cxn modelId="{99705E47-748A-475D-AF78-67453169F92D}" type="presParOf" srcId="{0F118B97-040C-49EE-8ADE-408FA6AF075E}" destId="{A4C92BE4-69DB-49A1-8C7A-EA8C6BBC55A5}" srcOrd="6" destOrd="0" presId="urn:microsoft.com/office/officeart/2005/8/layout/bList2"/>
    <dgm:cxn modelId="{6F796451-0D3F-40F1-80B3-2B104DFC83B3}" type="presParOf" srcId="{A4C92BE4-69DB-49A1-8C7A-EA8C6BBC55A5}" destId="{99E58898-9608-4DFF-ABCC-0972528953FF}" srcOrd="0" destOrd="0" presId="urn:microsoft.com/office/officeart/2005/8/layout/bList2"/>
    <dgm:cxn modelId="{5F30D0B7-D497-4382-8538-DDE36286C266}" type="presParOf" srcId="{A4C92BE4-69DB-49A1-8C7A-EA8C6BBC55A5}" destId="{CC27C853-6F91-4CD1-9702-66670E22DBF1}" srcOrd="1" destOrd="0" presId="urn:microsoft.com/office/officeart/2005/8/layout/bList2"/>
    <dgm:cxn modelId="{1C856365-C91C-42EF-B125-10AC63A14CB6}" type="presParOf" srcId="{A4C92BE4-69DB-49A1-8C7A-EA8C6BBC55A5}" destId="{324B820C-BB7C-4F2F-88C3-8A607CEC4E47}" srcOrd="2" destOrd="0" presId="urn:microsoft.com/office/officeart/2005/8/layout/bList2"/>
    <dgm:cxn modelId="{2B14EE57-324F-4A88-9F6A-F7AAE79211A8}" type="presParOf" srcId="{A4C92BE4-69DB-49A1-8C7A-EA8C6BBC55A5}" destId="{7BAFAA5A-D050-4F3E-A648-7EE2A89A660D}" srcOrd="3" destOrd="0" presId="urn:microsoft.com/office/officeart/2005/8/layout/bList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4CF128A1-BB53-4898-81B0-F05D69B68676}" type="doc">
      <dgm:prSet loTypeId="urn:microsoft.com/office/officeart/2005/8/layout/bList2" loCatId="list" qsTypeId="urn:microsoft.com/office/officeart/2005/8/quickstyle/3d1" qsCatId="3D" csTypeId="urn:microsoft.com/office/officeart/2005/8/colors/accent1_2" csCatId="accent1" phldr="1"/>
      <dgm:spPr/>
      <dgm:t>
        <a:bodyPr/>
        <a:lstStyle/>
        <a:p>
          <a:endParaRPr lang="pt-BR"/>
        </a:p>
      </dgm:t>
    </dgm:pt>
    <dgm:pt modelId="{8FF1F3A1-B6F1-4F8C-80DE-98D95AE01D2D}">
      <dgm:prSet phldrT="[Texto]"/>
      <dgm:spPr>
        <a:solidFill>
          <a:schemeClr val="tx2"/>
        </a:solidFill>
      </dgm:spPr>
      <dgm:t>
        <a:bodyPr/>
        <a:lstStyle/>
        <a:p>
          <a:r>
            <a:rPr lang="pt-BR">
              <a:latin typeface="Montserrat" pitchFamily="2" charset="0"/>
            </a:rPr>
            <a:t>Fev-Mar</a:t>
          </a:r>
        </a:p>
      </dgm:t>
    </dgm:pt>
    <dgm:pt modelId="{923DBF88-F3F9-42C2-B46B-C7C626113A89}" type="parTrans" cxnId="{EF6109E3-8677-401D-9AC3-00C687BEA698}">
      <dgm:prSet/>
      <dgm:spPr/>
      <dgm:t>
        <a:bodyPr/>
        <a:lstStyle/>
        <a:p>
          <a:endParaRPr lang="pt-BR"/>
        </a:p>
      </dgm:t>
    </dgm:pt>
    <dgm:pt modelId="{675545F8-786E-4E90-AF8F-27CC53832394}" type="sibTrans" cxnId="{EF6109E3-8677-401D-9AC3-00C687BEA698}">
      <dgm:prSet/>
      <dgm:spPr/>
      <dgm:t>
        <a:bodyPr/>
        <a:lstStyle/>
        <a:p>
          <a:endParaRPr lang="pt-BR"/>
        </a:p>
      </dgm:t>
    </dgm:pt>
    <dgm:pt modelId="{CE45679B-1DD1-4706-A20A-373159BEC6FA}">
      <dgm:prSet phldrT="[Texto]" custT="1"/>
      <dgm:spPr/>
      <dgm:t>
        <a:bodyPr/>
        <a:lstStyle/>
        <a:p>
          <a:r>
            <a:rPr lang="pt-BR" sz="1500">
              <a:latin typeface="Montserrat" pitchFamily="2" charset="0"/>
            </a:rPr>
            <a:t>Define Objetivos e KPIs Individuais para o ano</a:t>
          </a:r>
        </a:p>
      </dgm:t>
    </dgm:pt>
    <dgm:pt modelId="{7CEAD81A-BC70-4FBF-88E0-A3D3B7B5D124}" type="parTrans" cxnId="{451E4C5F-07E2-405C-AE65-17B0326841CC}">
      <dgm:prSet/>
      <dgm:spPr/>
      <dgm:t>
        <a:bodyPr/>
        <a:lstStyle/>
        <a:p>
          <a:endParaRPr lang="pt-BR"/>
        </a:p>
      </dgm:t>
    </dgm:pt>
    <dgm:pt modelId="{416E9939-9935-431B-9099-DC6288235DC9}" type="sibTrans" cxnId="{451E4C5F-07E2-405C-AE65-17B0326841CC}">
      <dgm:prSet/>
      <dgm:spPr/>
      <dgm:t>
        <a:bodyPr/>
        <a:lstStyle/>
        <a:p>
          <a:endParaRPr lang="pt-BR"/>
        </a:p>
      </dgm:t>
    </dgm:pt>
    <dgm:pt modelId="{C89565FF-5A05-48EE-A9CA-6CAAE79E5AFB}">
      <dgm:prSet phldrT="[Texto]"/>
      <dgm:spPr>
        <a:solidFill>
          <a:schemeClr val="tx2"/>
        </a:solidFill>
      </dgm:spPr>
      <dgm:t>
        <a:bodyPr/>
        <a:lstStyle/>
        <a:p>
          <a:r>
            <a:rPr lang="pt-BR">
              <a:latin typeface="Montserrat" pitchFamily="2" charset="0"/>
            </a:rPr>
            <a:t>Jul-Ago</a:t>
          </a:r>
        </a:p>
      </dgm:t>
    </dgm:pt>
    <dgm:pt modelId="{8E694E81-BFE4-491A-9D8D-4E7EADE23B32}" type="parTrans" cxnId="{1964A146-E187-41DC-A34E-AFDB14B97414}">
      <dgm:prSet/>
      <dgm:spPr/>
      <dgm:t>
        <a:bodyPr/>
        <a:lstStyle/>
        <a:p>
          <a:endParaRPr lang="pt-BR"/>
        </a:p>
      </dgm:t>
    </dgm:pt>
    <dgm:pt modelId="{F24E8B11-66C0-4D41-AF9B-42B3702CCE8E}" type="sibTrans" cxnId="{1964A146-E187-41DC-A34E-AFDB14B97414}">
      <dgm:prSet/>
      <dgm:spPr/>
      <dgm:t>
        <a:bodyPr/>
        <a:lstStyle/>
        <a:p>
          <a:endParaRPr lang="pt-BR"/>
        </a:p>
      </dgm:t>
    </dgm:pt>
    <dgm:pt modelId="{F1D057B2-A308-4555-97B7-D4536F61069F}">
      <dgm:prSet phldrT="[Texto]" custT="1"/>
      <dgm:spPr/>
      <dgm:t>
        <a:bodyPr/>
        <a:lstStyle/>
        <a:p>
          <a:pPr>
            <a:buClr>
              <a:srgbClr val="000000"/>
            </a:buClr>
            <a:buSzPts val="1100"/>
            <a:buFont typeface="Calibri" panose="020F0502020204030204" pitchFamily="34" charset="0"/>
            <a:buNone/>
          </a:pPr>
          <a:r>
            <a:rPr lang="pt-BR" sz="1500" kern="1200">
              <a:latin typeface="Montserrat" pitchFamily="2" charset="0"/>
            </a:rPr>
            <a:t>Avaliação Intercalar</a:t>
          </a:r>
        </a:p>
      </dgm:t>
    </dgm:pt>
    <dgm:pt modelId="{1D413C57-B65B-4453-B8A0-EC7869DECBA2}" type="parTrans" cxnId="{D3A6A13F-8F72-4C23-BBC5-604CF1413A82}">
      <dgm:prSet/>
      <dgm:spPr/>
      <dgm:t>
        <a:bodyPr/>
        <a:lstStyle/>
        <a:p>
          <a:endParaRPr lang="pt-BR"/>
        </a:p>
      </dgm:t>
    </dgm:pt>
    <dgm:pt modelId="{71E73528-8F1E-4FF5-B6B1-34AB2E5B73B5}" type="sibTrans" cxnId="{D3A6A13F-8F72-4C23-BBC5-604CF1413A82}">
      <dgm:prSet/>
      <dgm:spPr/>
      <dgm:t>
        <a:bodyPr/>
        <a:lstStyle/>
        <a:p>
          <a:endParaRPr lang="pt-BR"/>
        </a:p>
      </dgm:t>
    </dgm:pt>
    <dgm:pt modelId="{91BB195C-7191-44D4-B5A4-29619CDD4552}">
      <dgm:prSet phldrT="[Texto]"/>
      <dgm:spPr>
        <a:solidFill>
          <a:schemeClr val="tx2"/>
        </a:solidFill>
      </dgm:spPr>
      <dgm:t>
        <a:bodyPr/>
        <a:lstStyle/>
        <a:p>
          <a:r>
            <a:rPr lang="pt-BR">
              <a:latin typeface="Montserrat" pitchFamily="2" charset="0"/>
            </a:rPr>
            <a:t>Dez</a:t>
          </a:r>
        </a:p>
      </dgm:t>
    </dgm:pt>
    <dgm:pt modelId="{7CDBE9A4-CE59-4BF8-9794-39CB5D65D727}" type="parTrans" cxnId="{83078913-F802-4113-BAC3-3AFB8C21974E}">
      <dgm:prSet/>
      <dgm:spPr/>
      <dgm:t>
        <a:bodyPr/>
        <a:lstStyle/>
        <a:p>
          <a:endParaRPr lang="pt-BR"/>
        </a:p>
      </dgm:t>
    </dgm:pt>
    <dgm:pt modelId="{2D51E736-E6BA-4BB0-BBD8-D59D4CA10B04}" type="sibTrans" cxnId="{83078913-F802-4113-BAC3-3AFB8C21974E}">
      <dgm:prSet/>
      <dgm:spPr/>
      <dgm:t>
        <a:bodyPr/>
        <a:lstStyle/>
        <a:p>
          <a:endParaRPr lang="pt-BR"/>
        </a:p>
      </dgm:t>
    </dgm:pt>
    <dgm:pt modelId="{5DCCD2B9-F794-47DF-B569-E4DCD888693A}">
      <dgm:prSet phldrT="[Texto]" custT="1"/>
      <dgm:spPr/>
      <dgm:t>
        <a:bodyPr/>
        <a:lstStyle/>
        <a:p>
          <a:r>
            <a:rPr lang="pt-BR" sz="1500" kern="1200" dirty="0">
              <a:latin typeface="Montserrat" pitchFamily="2" charset="0"/>
              <a:ea typeface="+mn-ea"/>
              <a:cs typeface="+mn-cs"/>
            </a:rPr>
            <a:t>Acompanha o desempenho e evolução do colaborador 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</dgm:t>
    </dgm:pt>
    <dgm:pt modelId="{57C96292-A2BD-4BE4-8B72-3E740867823E}" type="parTrans" cxnId="{52940BE2-F2E1-42AF-88C7-113BF999C992}">
      <dgm:prSet/>
      <dgm:spPr/>
      <dgm:t>
        <a:bodyPr/>
        <a:lstStyle/>
        <a:p>
          <a:endParaRPr lang="pt-BR"/>
        </a:p>
      </dgm:t>
    </dgm:pt>
    <dgm:pt modelId="{37715BAC-FA77-4C33-9E92-B864319FF17A}" type="sibTrans" cxnId="{52940BE2-F2E1-42AF-88C7-113BF999C992}">
      <dgm:prSet/>
      <dgm:spPr/>
      <dgm:t>
        <a:bodyPr/>
        <a:lstStyle/>
        <a:p>
          <a:endParaRPr lang="pt-BR"/>
        </a:p>
      </dgm:t>
    </dgm:pt>
    <dgm:pt modelId="{CB940F72-FD35-4640-89F6-5935D921AF85}">
      <dgm:prSet phldrT="[Texto]" custT="1"/>
      <dgm:spPr/>
      <dgm:t>
        <a:bodyPr/>
        <a:lstStyle/>
        <a:p>
          <a:r>
            <a:rPr lang="pt-BR" sz="1500" kern="1200" dirty="0">
              <a:latin typeface="Montserrat" pitchFamily="2" charset="0"/>
              <a:ea typeface="+mn-ea"/>
              <a:cs typeface="+mn-cs"/>
            </a:rPr>
            <a:t>Consolida e fecha os KPIs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</dgm:t>
    </dgm:pt>
    <dgm:pt modelId="{BB0FEDA8-5B90-4B98-91FC-049CAEC12482}" type="parTrans" cxnId="{209A962F-F323-4720-A8D8-324A7C9100A8}">
      <dgm:prSet/>
      <dgm:spPr/>
      <dgm:t>
        <a:bodyPr/>
        <a:lstStyle/>
        <a:p>
          <a:endParaRPr lang="pt-BR"/>
        </a:p>
      </dgm:t>
    </dgm:pt>
    <dgm:pt modelId="{D0AB0E99-B68E-4037-B06F-83036FC1A026}" type="sibTrans" cxnId="{209A962F-F323-4720-A8D8-324A7C9100A8}">
      <dgm:prSet/>
      <dgm:spPr/>
      <dgm:t>
        <a:bodyPr/>
        <a:lstStyle/>
        <a:p>
          <a:endParaRPr lang="pt-BR"/>
        </a:p>
      </dgm:t>
    </dgm:pt>
    <dgm:pt modelId="{6A09F69D-582C-47B3-9373-7538421A146E}">
      <dgm:prSet phldrT="[Texto]"/>
      <dgm:spPr>
        <a:solidFill>
          <a:schemeClr val="tx2"/>
        </a:solidFill>
      </dgm:spPr>
      <dgm:t>
        <a:bodyPr/>
        <a:lstStyle/>
        <a:p>
          <a:r>
            <a:rPr lang="pt-BR">
              <a:latin typeface="Montserrat" pitchFamily="2" charset="0"/>
            </a:rPr>
            <a:t>Jan</a:t>
          </a:r>
        </a:p>
      </dgm:t>
    </dgm:pt>
    <dgm:pt modelId="{4D79CF54-3B9A-408C-9981-74576F434143}" type="sibTrans" cxnId="{E1EB2109-AA1D-4FDA-AE37-E6360B79031C}">
      <dgm:prSet/>
      <dgm:spPr/>
      <dgm:t>
        <a:bodyPr/>
        <a:lstStyle/>
        <a:p>
          <a:endParaRPr lang="pt-BR"/>
        </a:p>
      </dgm:t>
    </dgm:pt>
    <dgm:pt modelId="{324F1326-44D0-455E-BBA9-80FFE1F45193}" type="parTrans" cxnId="{E1EB2109-AA1D-4FDA-AE37-E6360B79031C}">
      <dgm:prSet/>
      <dgm:spPr/>
      <dgm:t>
        <a:bodyPr/>
        <a:lstStyle/>
        <a:p>
          <a:endParaRPr lang="pt-BR"/>
        </a:p>
      </dgm:t>
    </dgm:pt>
    <dgm:pt modelId="{F3D820A9-AD44-45B9-B4A6-34E2EA419CD4}">
      <dgm:prSet phldrT="[Texto]" custT="1"/>
      <dgm:spPr/>
      <dgm:t>
        <a:bodyPr/>
        <a:lstStyle/>
        <a:p>
          <a:r>
            <a:rPr lang="pt-BR" sz="1500" kern="1200">
              <a:latin typeface="Montserrat" pitchFamily="2" charset="0"/>
            </a:rPr>
            <a:t>Reflete o ciclo anterior</a:t>
          </a:r>
        </a:p>
      </dgm:t>
    </dgm:pt>
    <dgm:pt modelId="{256DA0CB-F274-4EA2-A5E9-0EE5C0A4CBFD}" type="sibTrans" cxnId="{60E323EF-AA92-4877-AED5-B2B7A991C2D2}">
      <dgm:prSet/>
      <dgm:spPr/>
      <dgm:t>
        <a:bodyPr/>
        <a:lstStyle/>
        <a:p>
          <a:endParaRPr lang="pt-BR"/>
        </a:p>
      </dgm:t>
    </dgm:pt>
    <dgm:pt modelId="{DA4AA586-FCCB-4715-8F76-1975ACBF2F20}" type="parTrans" cxnId="{60E323EF-AA92-4877-AED5-B2B7A991C2D2}">
      <dgm:prSet/>
      <dgm:spPr/>
      <dgm:t>
        <a:bodyPr/>
        <a:lstStyle/>
        <a:p>
          <a:endParaRPr lang="pt-BR"/>
        </a:p>
      </dgm:t>
    </dgm:pt>
    <dgm:pt modelId="{C3B742A8-3AAC-49D3-B705-FCBD96E22EE1}">
      <dgm:prSet phldrT="[Texto]" custT="1"/>
      <dgm:spPr/>
      <dgm:t>
        <a:bodyPr/>
        <a:lstStyle/>
        <a:p>
          <a:r>
            <a:rPr lang="pt-BR" sz="1500" kern="1200">
              <a:latin typeface="Montserrat" pitchFamily="2" charset="0"/>
            </a:rPr>
            <a:t>Valida as competências comportamentais</a:t>
          </a:r>
        </a:p>
      </dgm:t>
    </dgm:pt>
    <dgm:pt modelId="{45E91E6E-CAC1-4F1E-9E63-C26E4989DB56}" type="sibTrans" cxnId="{BD66073E-44A1-4514-87FD-C766F6E28E43}">
      <dgm:prSet/>
      <dgm:spPr/>
      <dgm:t>
        <a:bodyPr/>
        <a:lstStyle/>
        <a:p>
          <a:endParaRPr lang="pt-BR"/>
        </a:p>
      </dgm:t>
    </dgm:pt>
    <dgm:pt modelId="{F5FADD3F-3D4E-401B-AF43-A73439EAD694}" type="parTrans" cxnId="{BD66073E-44A1-4514-87FD-C766F6E28E43}">
      <dgm:prSet/>
      <dgm:spPr/>
      <dgm:t>
        <a:bodyPr/>
        <a:lstStyle/>
        <a:p>
          <a:endParaRPr lang="pt-BR"/>
        </a:p>
      </dgm:t>
    </dgm:pt>
    <dgm:pt modelId="{E4941BC2-2EAA-474A-A372-8A43ACA5D0E3}">
      <dgm:prSet phldrT="[Texto]" custT="1"/>
      <dgm:spPr/>
      <dgm:t>
        <a:bodyPr/>
        <a:lstStyle/>
        <a:p>
          <a:r>
            <a:rPr lang="pt-BR" sz="1500" kern="1200" dirty="0">
              <a:latin typeface="Montserrat" pitchFamily="2" charset="0"/>
              <a:ea typeface="+mn-ea"/>
              <a:cs typeface="+mn-cs"/>
            </a:rPr>
            <a:t>Realiza reuniões de alinhamento com o colaborador 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</dgm:t>
    </dgm:pt>
    <dgm:pt modelId="{6CB8867A-BFA9-4682-921D-B93511E57940}" type="parTrans" cxnId="{D1C9FCFE-C774-46B6-9DCB-51D9BBC3E15F}">
      <dgm:prSet/>
      <dgm:spPr/>
      <dgm:t>
        <a:bodyPr/>
        <a:lstStyle/>
        <a:p>
          <a:endParaRPr lang="pt-BR"/>
        </a:p>
      </dgm:t>
    </dgm:pt>
    <dgm:pt modelId="{A5184959-4E3D-44B5-8D59-C2AD38FA42C0}" type="sibTrans" cxnId="{D1C9FCFE-C774-46B6-9DCB-51D9BBC3E15F}">
      <dgm:prSet/>
      <dgm:spPr/>
      <dgm:t>
        <a:bodyPr/>
        <a:lstStyle/>
        <a:p>
          <a:endParaRPr lang="pt-BR"/>
        </a:p>
      </dgm:t>
    </dgm:pt>
    <dgm:pt modelId="{1CDA2411-DEE5-4249-9150-D0C6B4E01667}">
      <dgm:prSet phldrT="[Texto]" custT="1"/>
      <dgm:spPr/>
      <dgm:t>
        <a:bodyPr/>
        <a:lstStyle/>
        <a:p>
          <a:r>
            <a:rPr lang="pt-BR" sz="1500" dirty="0">
              <a:latin typeface="Montserrat" pitchFamily="2" charset="0"/>
              <a:ea typeface="+mn-ea"/>
              <a:cs typeface="+mn-cs"/>
            </a:rPr>
            <a:t>Realiza reuniões de alinhamento com o colaborador </a:t>
          </a:r>
          <a:endParaRPr lang="pt-BR" sz="1500">
            <a:latin typeface="Montserrat" pitchFamily="2" charset="0"/>
          </a:endParaRPr>
        </a:p>
      </dgm:t>
    </dgm:pt>
    <dgm:pt modelId="{8A3E8A41-5CF3-4C82-AC91-E5EBA19A25E5}" type="parTrans" cxnId="{3FCB33AA-CD1F-47A6-9B77-41E17CDFDD91}">
      <dgm:prSet/>
      <dgm:spPr/>
      <dgm:t>
        <a:bodyPr/>
        <a:lstStyle/>
        <a:p>
          <a:endParaRPr lang="pt-BR"/>
        </a:p>
      </dgm:t>
    </dgm:pt>
    <dgm:pt modelId="{DA7569B0-5740-4885-978B-D274B6E5BF58}" type="sibTrans" cxnId="{3FCB33AA-CD1F-47A6-9B77-41E17CDFDD91}">
      <dgm:prSet/>
      <dgm:spPr/>
      <dgm:t>
        <a:bodyPr/>
        <a:lstStyle/>
        <a:p>
          <a:endParaRPr lang="pt-BR"/>
        </a:p>
      </dgm:t>
    </dgm:pt>
    <dgm:pt modelId="{6D81D978-CD1E-4BBC-A3CE-431B23140FB7}">
      <dgm:prSet phldrT="[Texto]" custT="1"/>
      <dgm:spPr/>
      <dgm:t>
        <a:bodyPr/>
        <a:lstStyle/>
        <a:p>
          <a:r>
            <a:rPr lang="pt-BR" sz="1500" kern="1200" dirty="0">
              <a:latin typeface="Montserrat" pitchFamily="2" charset="0"/>
              <a:ea typeface="+mn-ea"/>
              <a:cs typeface="+mn-cs"/>
            </a:rPr>
            <a:t>Apura os prêmios com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</dgm:t>
    </dgm:pt>
    <dgm:pt modelId="{A16157D5-530E-40DD-A66E-F262FDA7B084}" type="parTrans" cxnId="{61D380AF-4FE4-423C-99A7-7606A8244F20}">
      <dgm:prSet/>
      <dgm:spPr/>
      <dgm:t>
        <a:bodyPr/>
        <a:lstStyle/>
        <a:p>
          <a:endParaRPr lang="pt-BR"/>
        </a:p>
      </dgm:t>
    </dgm:pt>
    <dgm:pt modelId="{3E90D1D4-DE9D-4B8E-90A8-6E9833AEB140}" type="sibTrans" cxnId="{61D380AF-4FE4-423C-99A7-7606A8244F20}">
      <dgm:prSet/>
      <dgm:spPr/>
      <dgm:t>
        <a:bodyPr/>
        <a:lstStyle/>
        <a:p>
          <a:endParaRPr lang="pt-BR"/>
        </a:p>
      </dgm:t>
    </dgm:pt>
    <dgm:pt modelId="{4BDD1CB6-2C2A-4956-876E-103AD76B83D2}">
      <dgm:prSet phldrT="[Texto]" custT="1"/>
      <dgm:spPr/>
      <dgm:t>
        <a:bodyPr/>
        <a:lstStyle/>
        <a:p>
          <a:r>
            <a:rPr lang="pt-BR" sz="1500" kern="1200" dirty="0">
              <a:latin typeface="Montserrat" pitchFamily="2" charset="0"/>
              <a:ea typeface="+mn-ea"/>
              <a:cs typeface="+mn-cs"/>
            </a:rPr>
            <a:t>Realinha os KPIS, se necessário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</dgm:t>
    </dgm:pt>
    <dgm:pt modelId="{3B9ACCB5-8091-4EAC-8685-0A74290C6F2F}" type="parTrans" cxnId="{64DB59F4-E265-4754-A4C3-C4C1A5B7AAB5}">
      <dgm:prSet/>
      <dgm:spPr/>
      <dgm:t>
        <a:bodyPr/>
        <a:lstStyle/>
        <a:p>
          <a:endParaRPr lang="pt-BR"/>
        </a:p>
      </dgm:t>
    </dgm:pt>
    <dgm:pt modelId="{21103962-D867-4EC5-957C-55ECF2EAD83F}" type="sibTrans" cxnId="{64DB59F4-E265-4754-A4C3-C4C1A5B7AAB5}">
      <dgm:prSet/>
      <dgm:spPr/>
      <dgm:t>
        <a:bodyPr/>
        <a:lstStyle/>
        <a:p>
          <a:endParaRPr lang="pt-BR"/>
        </a:p>
      </dgm:t>
    </dgm:pt>
    <dgm:pt modelId="{A1574169-799E-4E49-B316-CA9D5290BBF4}">
      <dgm:prSet phldrT="[Texto]" custT="1"/>
      <dgm:spPr/>
      <dgm:t>
        <a:bodyPr/>
        <a:lstStyle/>
        <a:p>
          <a:r>
            <a:rPr lang="pt-BR" sz="1500" kern="1200" dirty="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Montserrat" pitchFamily="2" charset="0"/>
              <a:ea typeface="+mn-ea"/>
              <a:cs typeface="+mn-cs"/>
            </a:rPr>
            <a:t>Identifica as prioridades de desenvolvimento e as necessidades individuais e organizacionais</a:t>
          </a:r>
          <a:endParaRPr lang="pt-BR" sz="1500" kern="1200">
            <a:solidFill>
              <a:sysClr val="windowText" lastClr="000000">
                <a:hueOff val="0"/>
                <a:satOff val="0"/>
                <a:lumOff val="0"/>
                <a:alphaOff val="0"/>
              </a:sysClr>
            </a:solidFill>
            <a:latin typeface="Montserrat" pitchFamily="2" charset="0"/>
            <a:ea typeface="+mn-ea"/>
            <a:cs typeface="+mn-cs"/>
          </a:endParaRPr>
        </a:p>
      </dgm:t>
    </dgm:pt>
    <dgm:pt modelId="{CB1DE474-101E-4EA4-BC4D-F5CBB9F84869}" type="parTrans" cxnId="{CE82C1EC-BD3B-4AA6-AA55-BB800440E29E}">
      <dgm:prSet/>
      <dgm:spPr/>
      <dgm:t>
        <a:bodyPr/>
        <a:lstStyle/>
        <a:p>
          <a:endParaRPr lang="pt-BR"/>
        </a:p>
      </dgm:t>
    </dgm:pt>
    <dgm:pt modelId="{8A30508B-C88A-4CA6-82FC-BAB960AD840F}" type="sibTrans" cxnId="{CE82C1EC-BD3B-4AA6-AA55-BB800440E29E}">
      <dgm:prSet/>
      <dgm:spPr/>
      <dgm:t>
        <a:bodyPr/>
        <a:lstStyle/>
        <a:p>
          <a:endParaRPr lang="pt-BR"/>
        </a:p>
      </dgm:t>
    </dgm:pt>
    <dgm:pt modelId="{3F8E0123-E719-4BD1-AD91-D5181CB4657B}">
      <dgm:prSet phldrT="[Texto]" custT="1"/>
      <dgm:spPr/>
      <dgm:t>
        <a:bodyPr/>
        <a:lstStyle/>
        <a:p>
          <a:r>
            <a:rPr lang="pt-BR" sz="1500" kern="1200" dirty="0">
              <a:latin typeface="Montserrat" pitchFamily="2" charset="0"/>
              <a:ea typeface="+mn-ea"/>
              <a:cs typeface="+mn-cs"/>
            </a:rPr>
            <a:t> base nos resultados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</dgm:t>
    </dgm:pt>
    <dgm:pt modelId="{AA76A391-3F43-4C50-84D2-B2AF3B88FFCC}" type="parTrans" cxnId="{16A04761-A419-46F9-BEC7-48DBA4D8B840}">
      <dgm:prSet/>
      <dgm:spPr/>
      <dgm:t>
        <a:bodyPr/>
        <a:lstStyle/>
        <a:p>
          <a:endParaRPr lang="pt-BR"/>
        </a:p>
      </dgm:t>
    </dgm:pt>
    <dgm:pt modelId="{64092B34-A13C-4C4F-801D-B1A274B90F43}" type="sibTrans" cxnId="{16A04761-A419-46F9-BEC7-48DBA4D8B840}">
      <dgm:prSet/>
      <dgm:spPr/>
      <dgm:t>
        <a:bodyPr/>
        <a:lstStyle/>
        <a:p>
          <a:endParaRPr lang="pt-BR"/>
        </a:p>
      </dgm:t>
    </dgm:pt>
    <dgm:pt modelId="{0F118B97-040C-49EE-8ADE-408FA6AF075E}" type="pres">
      <dgm:prSet presAssocID="{4CF128A1-BB53-4898-81B0-F05D69B68676}" presName="diagram" presStyleCnt="0">
        <dgm:presLayoutVars>
          <dgm:dir/>
          <dgm:animLvl val="lvl"/>
          <dgm:resizeHandles val="exact"/>
        </dgm:presLayoutVars>
      </dgm:prSet>
      <dgm:spPr/>
    </dgm:pt>
    <dgm:pt modelId="{36A211D0-AC85-4235-82B3-2863248E9A45}" type="pres">
      <dgm:prSet presAssocID="{6A09F69D-582C-47B3-9373-7538421A146E}" presName="compNode" presStyleCnt="0"/>
      <dgm:spPr/>
    </dgm:pt>
    <dgm:pt modelId="{D2A2B50A-42AF-4523-B04E-CC3396A2EBE9}" type="pres">
      <dgm:prSet presAssocID="{6A09F69D-582C-47B3-9373-7538421A146E}" presName="childRect" presStyleLbl="bgAcc1" presStyleIdx="0" presStyleCnt="4">
        <dgm:presLayoutVars>
          <dgm:bulletEnabled val="1"/>
        </dgm:presLayoutVars>
      </dgm:prSet>
      <dgm:spPr/>
    </dgm:pt>
    <dgm:pt modelId="{3B68DC44-FE86-48C0-988B-818F6E3E51E4}" type="pres">
      <dgm:prSet presAssocID="{6A09F69D-582C-47B3-9373-7538421A146E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2CDC5007-FEB6-41AB-85AF-3F098BACE295}" type="pres">
      <dgm:prSet presAssocID="{6A09F69D-582C-47B3-9373-7538421A146E}" presName="parentRect" presStyleLbl="alignNode1" presStyleIdx="0" presStyleCnt="4"/>
      <dgm:spPr/>
    </dgm:pt>
    <dgm:pt modelId="{E8CACFFA-26B5-466A-8CFF-3F62E80AB7BC}" type="pres">
      <dgm:prSet presAssocID="{6A09F69D-582C-47B3-9373-7538421A146E}" presName="adorn" presStyleLbl="fgAccFollowNode1" presStyleIdx="0" presStyleCnt="4"/>
      <dgm:spPr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Selo 1 estrutura de tópicos"/>
        </a:ext>
      </dgm:extLst>
    </dgm:pt>
    <dgm:pt modelId="{792B6E6F-CDEC-43B3-BB6F-FF5DA2F60607}" type="pres">
      <dgm:prSet presAssocID="{4D79CF54-3B9A-408C-9981-74576F434143}" presName="sibTrans" presStyleLbl="sibTrans2D1" presStyleIdx="0" presStyleCnt="0"/>
      <dgm:spPr/>
    </dgm:pt>
    <dgm:pt modelId="{82284903-EF71-4A20-9B1C-0DE2559F9473}" type="pres">
      <dgm:prSet presAssocID="{8FF1F3A1-B6F1-4F8C-80DE-98D95AE01D2D}" presName="compNode" presStyleCnt="0"/>
      <dgm:spPr/>
    </dgm:pt>
    <dgm:pt modelId="{0D928639-4161-4986-A86B-287AD88DD5E4}" type="pres">
      <dgm:prSet presAssocID="{8FF1F3A1-B6F1-4F8C-80DE-98D95AE01D2D}" presName="childRect" presStyleLbl="bgAcc1" presStyleIdx="1" presStyleCnt="4">
        <dgm:presLayoutVars>
          <dgm:bulletEnabled val="1"/>
        </dgm:presLayoutVars>
      </dgm:prSet>
      <dgm:spPr/>
    </dgm:pt>
    <dgm:pt modelId="{D3F59508-1F3E-4099-A19E-4A74DDFCA15C}" type="pres">
      <dgm:prSet presAssocID="{8FF1F3A1-B6F1-4F8C-80DE-98D95AE01D2D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B973CE5C-2EA8-4C60-A52A-C53EFBE31A66}" type="pres">
      <dgm:prSet presAssocID="{8FF1F3A1-B6F1-4F8C-80DE-98D95AE01D2D}" presName="parentRect" presStyleLbl="alignNode1" presStyleIdx="1" presStyleCnt="4"/>
      <dgm:spPr/>
    </dgm:pt>
    <dgm:pt modelId="{39EF9509-BD59-44C1-A9A5-99B093DF6732}" type="pres">
      <dgm:prSet presAssocID="{8FF1F3A1-B6F1-4F8C-80DE-98D95AE01D2D}" presName="adorn" presStyleLbl="fgAccFollowNode1" presStyleIdx="1" presStyleCnt="4"/>
      <dgm:spPr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Crachá estrutura de tópicos"/>
        </a:ext>
      </dgm:extLst>
    </dgm:pt>
    <dgm:pt modelId="{513E2955-F3DC-4376-853B-D5238D632838}" type="pres">
      <dgm:prSet presAssocID="{675545F8-786E-4E90-AF8F-27CC53832394}" presName="sibTrans" presStyleLbl="sibTrans2D1" presStyleIdx="0" presStyleCnt="0"/>
      <dgm:spPr/>
    </dgm:pt>
    <dgm:pt modelId="{0EDAD361-AB4A-42CF-90F0-85A9C71D52FC}" type="pres">
      <dgm:prSet presAssocID="{C89565FF-5A05-48EE-A9CA-6CAAE79E5AFB}" presName="compNode" presStyleCnt="0"/>
      <dgm:spPr/>
    </dgm:pt>
    <dgm:pt modelId="{6839E8D7-86B8-4E27-91CB-506974A05471}" type="pres">
      <dgm:prSet presAssocID="{C89565FF-5A05-48EE-A9CA-6CAAE79E5AFB}" presName="childRect" presStyleLbl="bgAcc1" presStyleIdx="2" presStyleCnt="4">
        <dgm:presLayoutVars>
          <dgm:bulletEnabled val="1"/>
        </dgm:presLayoutVars>
      </dgm:prSet>
      <dgm:spPr/>
    </dgm:pt>
    <dgm:pt modelId="{69F56C91-46E8-4017-B371-A34C9B45D124}" type="pres">
      <dgm:prSet presAssocID="{C89565FF-5A05-48EE-A9CA-6CAAE79E5AFB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558E5F9D-1A94-4867-9E2C-25EAAAD69326}" type="pres">
      <dgm:prSet presAssocID="{C89565FF-5A05-48EE-A9CA-6CAAE79E5AFB}" presName="parentRect" presStyleLbl="alignNode1" presStyleIdx="2" presStyleCnt="4"/>
      <dgm:spPr/>
    </dgm:pt>
    <dgm:pt modelId="{77C14186-35A7-43BD-9445-9F43ECE7A4C8}" type="pres">
      <dgm:prSet presAssocID="{C89565FF-5A05-48EE-A9CA-6CAAE79E5AFB}" presName="adorn" presStyleLbl="fgAccFollowNode1" presStyleIdx="2" presStyleCnt="4"/>
      <dgm:spPr>
        <a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Selo 3 estrutura de tópicos"/>
        </a:ext>
      </dgm:extLst>
    </dgm:pt>
    <dgm:pt modelId="{EE6903A5-2E77-4C8F-9C2D-545D4E922951}" type="pres">
      <dgm:prSet presAssocID="{F24E8B11-66C0-4D41-AF9B-42B3702CCE8E}" presName="sibTrans" presStyleLbl="sibTrans2D1" presStyleIdx="0" presStyleCnt="0"/>
      <dgm:spPr/>
    </dgm:pt>
    <dgm:pt modelId="{A4C92BE4-69DB-49A1-8C7A-EA8C6BBC55A5}" type="pres">
      <dgm:prSet presAssocID="{91BB195C-7191-44D4-B5A4-29619CDD4552}" presName="compNode" presStyleCnt="0"/>
      <dgm:spPr/>
    </dgm:pt>
    <dgm:pt modelId="{99E58898-9608-4DFF-ABCC-0972528953FF}" type="pres">
      <dgm:prSet presAssocID="{91BB195C-7191-44D4-B5A4-29619CDD4552}" presName="childRect" presStyleLbl="bgAcc1" presStyleIdx="3" presStyleCnt="4">
        <dgm:presLayoutVars>
          <dgm:bulletEnabled val="1"/>
        </dgm:presLayoutVars>
      </dgm:prSet>
      <dgm:spPr/>
    </dgm:pt>
    <dgm:pt modelId="{CC27C853-6F91-4CD1-9702-66670E22DBF1}" type="pres">
      <dgm:prSet presAssocID="{91BB195C-7191-44D4-B5A4-29619CDD4552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324B820C-BB7C-4F2F-88C3-8A607CEC4E47}" type="pres">
      <dgm:prSet presAssocID="{91BB195C-7191-44D4-B5A4-29619CDD4552}" presName="parentRect" presStyleLbl="alignNode1" presStyleIdx="3" presStyleCnt="4"/>
      <dgm:spPr/>
    </dgm:pt>
    <dgm:pt modelId="{7BAFAA5A-D050-4F3E-A648-7EE2A89A660D}" type="pres">
      <dgm:prSet presAssocID="{91BB195C-7191-44D4-B5A4-29619CDD4552}" presName="adorn" presStyleLbl="fgAccFollowNode1" presStyleIdx="3" presStyleCnt="4"/>
      <dgm:spPr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Selo 4 estrutura de tópicos"/>
        </a:ext>
      </dgm:extLst>
    </dgm:pt>
  </dgm:ptLst>
  <dgm:cxnLst>
    <dgm:cxn modelId="{E1EB2109-AA1D-4FDA-AE37-E6360B79031C}" srcId="{4CF128A1-BB53-4898-81B0-F05D69B68676}" destId="{6A09F69D-582C-47B3-9373-7538421A146E}" srcOrd="0" destOrd="0" parTransId="{324F1326-44D0-455E-BBA9-80FFE1F45193}" sibTransId="{4D79CF54-3B9A-408C-9981-74576F434143}"/>
    <dgm:cxn modelId="{83078913-F802-4113-BAC3-3AFB8C21974E}" srcId="{4CF128A1-BB53-4898-81B0-F05D69B68676}" destId="{91BB195C-7191-44D4-B5A4-29619CDD4552}" srcOrd="3" destOrd="0" parTransId="{7CDBE9A4-CE59-4BF8-9794-39CB5D65D727}" sibTransId="{2D51E736-E6BA-4BB0-BBD8-D59D4CA10B04}"/>
    <dgm:cxn modelId="{78821B1D-9680-4797-8B27-A04623AFE808}" type="presOf" srcId="{6A09F69D-582C-47B3-9373-7538421A146E}" destId="{3B68DC44-FE86-48C0-988B-818F6E3E51E4}" srcOrd="0" destOrd="0" presId="urn:microsoft.com/office/officeart/2005/8/layout/bList2"/>
    <dgm:cxn modelId="{5FA33528-2E3C-4881-8BC7-7EE4A27C3571}" type="presOf" srcId="{CB940F72-FD35-4640-89F6-5935D921AF85}" destId="{99E58898-9608-4DFF-ABCC-0972528953FF}" srcOrd="0" destOrd="0" presId="urn:microsoft.com/office/officeart/2005/8/layout/bList2"/>
    <dgm:cxn modelId="{EE7B102B-2220-4B8B-A68E-7D5F9BFC478D}" type="presOf" srcId="{6A09F69D-582C-47B3-9373-7538421A146E}" destId="{2CDC5007-FEB6-41AB-85AF-3F098BACE295}" srcOrd="1" destOrd="0" presId="urn:microsoft.com/office/officeart/2005/8/layout/bList2"/>
    <dgm:cxn modelId="{209A962F-F323-4720-A8D8-324A7C9100A8}" srcId="{91BB195C-7191-44D4-B5A4-29619CDD4552}" destId="{CB940F72-FD35-4640-89F6-5935D921AF85}" srcOrd="0" destOrd="0" parTransId="{BB0FEDA8-5B90-4B98-91FC-049CAEC12482}" sibTransId="{D0AB0E99-B68E-4037-B06F-83036FC1A026}"/>
    <dgm:cxn modelId="{C7F5F038-D45C-4F7B-8F1C-633ED7AAA784}" type="presOf" srcId="{8FF1F3A1-B6F1-4F8C-80DE-98D95AE01D2D}" destId="{D3F59508-1F3E-4099-A19E-4A74DDFCA15C}" srcOrd="0" destOrd="0" presId="urn:microsoft.com/office/officeart/2005/8/layout/bList2"/>
    <dgm:cxn modelId="{BD66073E-44A1-4514-87FD-C766F6E28E43}" srcId="{6A09F69D-582C-47B3-9373-7538421A146E}" destId="{C3B742A8-3AAC-49D3-B705-FCBD96E22EE1}" srcOrd="1" destOrd="0" parTransId="{F5FADD3F-3D4E-401B-AF43-A73439EAD694}" sibTransId="{45E91E6E-CAC1-4F1E-9E63-C26E4989DB56}"/>
    <dgm:cxn modelId="{D3A6A13F-8F72-4C23-BBC5-604CF1413A82}" srcId="{C89565FF-5A05-48EE-A9CA-6CAAE79E5AFB}" destId="{F1D057B2-A308-4555-97B7-D4536F61069F}" srcOrd="0" destOrd="0" parTransId="{1D413C57-B65B-4453-B8A0-EC7869DECBA2}" sibTransId="{71E73528-8F1E-4FF5-B6B1-34AB2E5B73B5}"/>
    <dgm:cxn modelId="{97C2CA5B-D129-4A91-8A72-91D468D38701}" type="presOf" srcId="{4CF128A1-BB53-4898-81B0-F05D69B68676}" destId="{0F118B97-040C-49EE-8ADE-408FA6AF075E}" srcOrd="0" destOrd="0" presId="urn:microsoft.com/office/officeart/2005/8/layout/bList2"/>
    <dgm:cxn modelId="{451E4C5F-07E2-405C-AE65-17B0326841CC}" srcId="{8FF1F3A1-B6F1-4F8C-80DE-98D95AE01D2D}" destId="{CE45679B-1DD1-4706-A20A-373159BEC6FA}" srcOrd="0" destOrd="0" parTransId="{7CEAD81A-BC70-4FBF-88E0-A3D3B7B5D124}" sibTransId="{416E9939-9935-431B-9099-DC6288235DC9}"/>
    <dgm:cxn modelId="{16A04761-A419-46F9-BEC7-48DBA4D8B840}" srcId="{6A09F69D-582C-47B3-9373-7538421A146E}" destId="{3F8E0123-E719-4BD1-AD91-D5181CB4657B}" srcOrd="4" destOrd="0" parTransId="{AA76A391-3F43-4C50-84D2-B2AF3B88FFCC}" sibTransId="{64092B34-A13C-4C4F-801D-B1A274B90F43}"/>
    <dgm:cxn modelId="{1964A146-E187-41DC-A34E-AFDB14B97414}" srcId="{4CF128A1-BB53-4898-81B0-F05D69B68676}" destId="{C89565FF-5A05-48EE-A9CA-6CAAE79E5AFB}" srcOrd="2" destOrd="0" parTransId="{8E694E81-BFE4-491A-9D8D-4E7EADE23B32}" sibTransId="{F24E8B11-66C0-4D41-AF9B-42B3702CCE8E}"/>
    <dgm:cxn modelId="{BCE4F54E-CFC8-428A-8701-7D75B575EABA}" type="presOf" srcId="{F3D820A9-AD44-45B9-B4A6-34E2EA419CD4}" destId="{D2A2B50A-42AF-4523-B04E-CC3396A2EBE9}" srcOrd="0" destOrd="0" presId="urn:microsoft.com/office/officeart/2005/8/layout/bList2"/>
    <dgm:cxn modelId="{A2BF2676-CA5B-439E-8584-15FC915B83D6}" type="presOf" srcId="{CE45679B-1DD1-4706-A20A-373159BEC6FA}" destId="{0D928639-4161-4986-A86B-287AD88DD5E4}" srcOrd="0" destOrd="0" presId="urn:microsoft.com/office/officeart/2005/8/layout/bList2"/>
    <dgm:cxn modelId="{871BF759-5AD7-4EEF-A74A-BC0981A2C985}" type="presOf" srcId="{8FF1F3A1-B6F1-4F8C-80DE-98D95AE01D2D}" destId="{B973CE5C-2EA8-4C60-A52A-C53EFBE31A66}" srcOrd="1" destOrd="0" presId="urn:microsoft.com/office/officeart/2005/8/layout/bList2"/>
    <dgm:cxn modelId="{351D1E8E-CDEF-42D8-8CA3-BB2E60E84897}" type="presOf" srcId="{3F8E0123-E719-4BD1-AD91-D5181CB4657B}" destId="{D2A2B50A-42AF-4523-B04E-CC3396A2EBE9}" srcOrd="0" destOrd="4" presId="urn:microsoft.com/office/officeart/2005/8/layout/bList2"/>
    <dgm:cxn modelId="{66449C9A-9424-471E-9AAB-58EAC14B5CD4}" type="presOf" srcId="{1CDA2411-DEE5-4249-9150-D0C6B4E01667}" destId="{0D928639-4161-4986-A86B-287AD88DD5E4}" srcOrd="0" destOrd="1" presId="urn:microsoft.com/office/officeart/2005/8/layout/bList2"/>
    <dgm:cxn modelId="{A621409C-9D51-46F3-9D0C-123447516F63}" type="presOf" srcId="{C89565FF-5A05-48EE-A9CA-6CAAE79E5AFB}" destId="{69F56C91-46E8-4017-B371-A34C9B45D124}" srcOrd="0" destOrd="0" presId="urn:microsoft.com/office/officeart/2005/8/layout/bList2"/>
    <dgm:cxn modelId="{24DD23A9-07B9-4EF2-92F4-230E47897535}" type="presOf" srcId="{91BB195C-7191-44D4-B5A4-29619CDD4552}" destId="{CC27C853-6F91-4CD1-9702-66670E22DBF1}" srcOrd="0" destOrd="0" presId="urn:microsoft.com/office/officeart/2005/8/layout/bList2"/>
    <dgm:cxn modelId="{3FCB33AA-CD1F-47A6-9B77-41E17CDFDD91}" srcId="{8FF1F3A1-B6F1-4F8C-80DE-98D95AE01D2D}" destId="{1CDA2411-DEE5-4249-9150-D0C6B4E01667}" srcOrd="1" destOrd="0" parTransId="{8A3E8A41-5CF3-4C82-AC91-E5EBA19A25E5}" sibTransId="{DA7569B0-5740-4885-978B-D274B6E5BF58}"/>
    <dgm:cxn modelId="{61D380AF-4FE4-423C-99A7-7606A8244F20}" srcId="{6A09F69D-582C-47B3-9373-7538421A146E}" destId="{6D81D978-CD1E-4BBC-A3CE-431B23140FB7}" srcOrd="3" destOrd="0" parTransId="{A16157D5-530E-40DD-A66E-F262FDA7B084}" sibTransId="{3E90D1D4-DE9D-4B8E-90A8-6E9833AEB140}"/>
    <dgm:cxn modelId="{FFA043B3-7C57-4C9F-98EA-1AD35489E0E9}" type="presOf" srcId="{A1574169-799E-4E49-B316-CA9D5290BBF4}" destId="{99E58898-9608-4DFF-ABCC-0972528953FF}" srcOrd="0" destOrd="1" presId="urn:microsoft.com/office/officeart/2005/8/layout/bList2"/>
    <dgm:cxn modelId="{4BE30AB9-18D8-4542-8B1D-3AF473A184DC}" type="presOf" srcId="{675545F8-786E-4E90-AF8F-27CC53832394}" destId="{513E2955-F3DC-4376-853B-D5238D632838}" srcOrd="0" destOrd="0" presId="urn:microsoft.com/office/officeart/2005/8/layout/bList2"/>
    <dgm:cxn modelId="{0916F9BB-8D49-4B2C-93D2-7B6481A1CA7D}" type="presOf" srcId="{6D81D978-CD1E-4BBC-A3CE-431B23140FB7}" destId="{D2A2B50A-42AF-4523-B04E-CC3396A2EBE9}" srcOrd="0" destOrd="3" presId="urn:microsoft.com/office/officeart/2005/8/layout/bList2"/>
    <dgm:cxn modelId="{102D48CC-61C3-488C-81ED-F0F11514BEF8}" type="presOf" srcId="{F1D057B2-A308-4555-97B7-D4536F61069F}" destId="{6839E8D7-86B8-4E27-91CB-506974A05471}" srcOrd="0" destOrd="0" presId="urn:microsoft.com/office/officeart/2005/8/layout/bList2"/>
    <dgm:cxn modelId="{5D84B3D8-3167-487A-9219-294C03C3ED13}" type="presOf" srcId="{4BDD1CB6-2C2A-4956-876E-103AD76B83D2}" destId="{6839E8D7-86B8-4E27-91CB-506974A05471}" srcOrd="0" destOrd="2" presId="urn:microsoft.com/office/officeart/2005/8/layout/bList2"/>
    <dgm:cxn modelId="{2A63C7DF-AB65-40C8-A36D-45F8B366D7FF}" type="presOf" srcId="{F24E8B11-66C0-4D41-AF9B-42B3702CCE8E}" destId="{EE6903A5-2E77-4C8F-9C2D-545D4E922951}" srcOrd="0" destOrd="0" presId="urn:microsoft.com/office/officeart/2005/8/layout/bList2"/>
    <dgm:cxn modelId="{24C135E1-348F-4F33-B490-81253ABE1877}" type="presOf" srcId="{4D79CF54-3B9A-408C-9981-74576F434143}" destId="{792B6E6F-CDEC-43B3-BB6F-FF5DA2F60607}" srcOrd="0" destOrd="0" presId="urn:microsoft.com/office/officeart/2005/8/layout/bList2"/>
    <dgm:cxn modelId="{52940BE2-F2E1-42AF-88C7-113BF999C992}" srcId="{C89565FF-5A05-48EE-A9CA-6CAAE79E5AFB}" destId="{5DCCD2B9-F794-47DF-B569-E4DCD888693A}" srcOrd="1" destOrd="0" parTransId="{57C96292-A2BD-4BE4-8B72-3E740867823E}" sibTransId="{37715BAC-FA77-4C33-9E92-B864319FF17A}"/>
    <dgm:cxn modelId="{EF6109E3-8677-401D-9AC3-00C687BEA698}" srcId="{4CF128A1-BB53-4898-81B0-F05D69B68676}" destId="{8FF1F3A1-B6F1-4F8C-80DE-98D95AE01D2D}" srcOrd="1" destOrd="0" parTransId="{923DBF88-F3F9-42C2-B46B-C7C626113A89}" sibTransId="{675545F8-786E-4E90-AF8F-27CC53832394}"/>
    <dgm:cxn modelId="{EBD1B5E9-3E69-4B50-8083-24FCB23B0013}" type="presOf" srcId="{91BB195C-7191-44D4-B5A4-29619CDD4552}" destId="{324B820C-BB7C-4F2F-88C3-8A607CEC4E47}" srcOrd="1" destOrd="0" presId="urn:microsoft.com/office/officeart/2005/8/layout/bList2"/>
    <dgm:cxn modelId="{CE82C1EC-BD3B-4AA6-AA55-BB800440E29E}" srcId="{91BB195C-7191-44D4-B5A4-29619CDD4552}" destId="{A1574169-799E-4E49-B316-CA9D5290BBF4}" srcOrd="1" destOrd="0" parTransId="{CB1DE474-101E-4EA4-BC4D-F5CBB9F84869}" sibTransId="{8A30508B-C88A-4CA6-82FC-BAB960AD840F}"/>
    <dgm:cxn modelId="{54BC1BED-CC47-4423-8310-20126E2BE168}" type="presOf" srcId="{5DCCD2B9-F794-47DF-B569-E4DCD888693A}" destId="{6839E8D7-86B8-4E27-91CB-506974A05471}" srcOrd="0" destOrd="1" presId="urn:microsoft.com/office/officeart/2005/8/layout/bList2"/>
    <dgm:cxn modelId="{60E323EF-AA92-4877-AED5-B2B7A991C2D2}" srcId="{6A09F69D-582C-47B3-9373-7538421A146E}" destId="{F3D820A9-AD44-45B9-B4A6-34E2EA419CD4}" srcOrd="0" destOrd="0" parTransId="{DA4AA586-FCCB-4715-8F76-1975ACBF2F20}" sibTransId="{256DA0CB-F274-4EA2-A5E9-0EE5C0A4CBFD}"/>
    <dgm:cxn modelId="{E82619F0-944F-4167-BE3E-CE54109A4931}" type="presOf" srcId="{C89565FF-5A05-48EE-A9CA-6CAAE79E5AFB}" destId="{558E5F9D-1A94-4867-9E2C-25EAAAD69326}" srcOrd="1" destOrd="0" presId="urn:microsoft.com/office/officeart/2005/8/layout/bList2"/>
    <dgm:cxn modelId="{D9F57BF0-12B6-4123-9F6E-B094CB9F9561}" type="presOf" srcId="{E4941BC2-2EAA-474A-A372-8A43ACA5D0E3}" destId="{D2A2B50A-42AF-4523-B04E-CC3396A2EBE9}" srcOrd="0" destOrd="2" presId="urn:microsoft.com/office/officeart/2005/8/layout/bList2"/>
    <dgm:cxn modelId="{64DB59F4-E265-4754-A4C3-C4C1A5B7AAB5}" srcId="{C89565FF-5A05-48EE-A9CA-6CAAE79E5AFB}" destId="{4BDD1CB6-2C2A-4956-876E-103AD76B83D2}" srcOrd="2" destOrd="0" parTransId="{3B9ACCB5-8091-4EAC-8685-0A74290C6F2F}" sibTransId="{21103962-D867-4EC5-957C-55ECF2EAD83F}"/>
    <dgm:cxn modelId="{73B8ABF4-FAF3-49FD-908C-6D6CAF44304E}" type="presOf" srcId="{C3B742A8-3AAC-49D3-B705-FCBD96E22EE1}" destId="{D2A2B50A-42AF-4523-B04E-CC3396A2EBE9}" srcOrd="0" destOrd="1" presId="urn:microsoft.com/office/officeart/2005/8/layout/bList2"/>
    <dgm:cxn modelId="{D1C9FCFE-C774-46B6-9DCB-51D9BBC3E15F}" srcId="{6A09F69D-582C-47B3-9373-7538421A146E}" destId="{E4941BC2-2EAA-474A-A372-8A43ACA5D0E3}" srcOrd="2" destOrd="0" parTransId="{6CB8867A-BFA9-4682-921D-B93511E57940}" sibTransId="{A5184959-4E3D-44B5-8D59-C2AD38FA42C0}"/>
    <dgm:cxn modelId="{07FF9103-601F-47A3-8131-8ED4CF868F22}" type="presParOf" srcId="{0F118B97-040C-49EE-8ADE-408FA6AF075E}" destId="{36A211D0-AC85-4235-82B3-2863248E9A45}" srcOrd="0" destOrd="0" presId="urn:microsoft.com/office/officeart/2005/8/layout/bList2"/>
    <dgm:cxn modelId="{EDE030D7-DB34-4220-A398-98CE57EF94B0}" type="presParOf" srcId="{36A211D0-AC85-4235-82B3-2863248E9A45}" destId="{D2A2B50A-42AF-4523-B04E-CC3396A2EBE9}" srcOrd="0" destOrd="0" presId="urn:microsoft.com/office/officeart/2005/8/layout/bList2"/>
    <dgm:cxn modelId="{6E366287-3039-4CC1-B1C2-63E5B250DC89}" type="presParOf" srcId="{36A211D0-AC85-4235-82B3-2863248E9A45}" destId="{3B68DC44-FE86-48C0-988B-818F6E3E51E4}" srcOrd="1" destOrd="0" presId="urn:microsoft.com/office/officeart/2005/8/layout/bList2"/>
    <dgm:cxn modelId="{526FBBAB-BCE6-41BE-A01D-5DE05382EBDD}" type="presParOf" srcId="{36A211D0-AC85-4235-82B3-2863248E9A45}" destId="{2CDC5007-FEB6-41AB-85AF-3F098BACE295}" srcOrd="2" destOrd="0" presId="urn:microsoft.com/office/officeart/2005/8/layout/bList2"/>
    <dgm:cxn modelId="{B40C2604-1266-46EE-93EB-89986FBB08D0}" type="presParOf" srcId="{36A211D0-AC85-4235-82B3-2863248E9A45}" destId="{E8CACFFA-26B5-466A-8CFF-3F62E80AB7BC}" srcOrd="3" destOrd="0" presId="urn:microsoft.com/office/officeart/2005/8/layout/bList2"/>
    <dgm:cxn modelId="{D02E53B3-372A-4228-92E5-437CC3FA2282}" type="presParOf" srcId="{0F118B97-040C-49EE-8ADE-408FA6AF075E}" destId="{792B6E6F-CDEC-43B3-BB6F-FF5DA2F60607}" srcOrd="1" destOrd="0" presId="urn:microsoft.com/office/officeart/2005/8/layout/bList2"/>
    <dgm:cxn modelId="{86394B16-F5E9-49AB-9467-B1AA56286718}" type="presParOf" srcId="{0F118B97-040C-49EE-8ADE-408FA6AF075E}" destId="{82284903-EF71-4A20-9B1C-0DE2559F9473}" srcOrd="2" destOrd="0" presId="urn:microsoft.com/office/officeart/2005/8/layout/bList2"/>
    <dgm:cxn modelId="{21ABA76A-4BD0-4872-A133-FDD8CCDC547E}" type="presParOf" srcId="{82284903-EF71-4A20-9B1C-0DE2559F9473}" destId="{0D928639-4161-4986-A86B-287AD88DD5E4}" srcOrd="0" destOrd="0" presId="urn:microsoft.com/office/officeart/2005/8/layout/bList2"/>
    <dgm:cxn modelId="{56DC7F9F-0775-4EE9-883F-B67E0A6177D2}" type="presParOf" srcId="{82284903-EF71-4A20-9B1C-0DE2559F9473}" destId="{D3F59508-1F3E-4099-A19E-4A74DDFCA15C}" srcOrd="1" destOrd="0" presId="urn:microsoft.com/office/officeart/2005/8/layout/bList2"/>
    <dgm:cxn modelId="{20A99CDB-20E3-4322-98FD-A84017862B1E}" type="presParOf" srcId="{82284903-EF71-4A20-9B1C-0DE2559F9473}" destId="{B973CE5C-2EA8-4C60-A52A-C53EFBE31A66}" srcOrd="2" destOrd="0" presId="urn:microsoft.com/office/officeart/2005/8/layout/bList2"/>
    <dgm:cxn modelId="{43C30D0E-D520-4213-88EC-8CFA5842E3DC}" type="presParOf" srcId="{82284903-EF71-4A20-9B1C-0DE2559F9473}" destId="{39EF9509-BD59-44C1-A9A5-99B093DF6732}" srcOrd="3" destOrd="0" presId="urn:microsoft.com/office/officeart/2005/8/layout/bList2"/>
    <dgm:cxn modelId="{59435D00-2CC7-414F-8984-366AE45A0F3B}" type="presParOf" srcId="{0F118B97-040C-49EE-8ADE-408FA6AF075E}" destId="{513E2955-F3DC-4376-853B-D5238D632838}" srcOrd="3" destOrd="0" presId="urn:microsoft.com/office/officeart/2005/8/layout/bList2"/>
    <dgm:cxn modelId="{A5A76A0F-CC69-4DA8-8BF1-EBFC49A8F25F}" type="presParOf" srcId="{0F118B97-040C-49EE-8ADE-408FA6AF075E}" destId="{0EDAD361-AB4A-42CF-90F0-85A9C71D52FC}" srcOrd="4" destOrd="0" presId="urn:microsoft.com/office/officeart/2005/8/layout/bList2"/>
    <dgm:cxn modelId="{E459E1FA-F2C4-4141-A581-7D7B0A2FFFCF}" type="presParOf" srcId="{0EDAD361-AB4A-42CF-90F0-85A9C71D52FC}" destId="{6839E8D7-86B8-4E27-91CB-506974A05471}" srcOrd="0" destOrd="0" presId="urn:microsoft.com/office/officeart/2005/8/layout/bList2"/>
    <dgm:cxn modelId="{1AAF9A6E-8E11-4BE2-A187-7E3B6425324B}" type="presParOf" srcId="{0EDAD361-AB4A-42CF-90F0-85A9C71D52FC}" destId="{69F56C91-46E8-4017-B371-A34C9B45D124}" srcOrd="1" destOrd="0" presId="urn:microsoft.com/office/officeart/2005/8/layout/bList2"/>
    <dgm:cxn modelId="{33BE0CBF-6F81-4F97-830A-E89F835EFD3D}" type="presParOf" srcId="{0EDAD361-AB4A-42CF-90F0-85A9C71D52FC}" destId="{558E5F9D-1A94-4867-9E2C-25EAAAD69326}" srcOrd="2" destOrd="0" presId="urn:microsoft.com/office/officeart/2005/8/layout/bList2"/>
    <dgm:cxn modelId="{F47E6FF7-8DDF-4AD5-889A-215D04ECD914}" type="presParOf" srcId="{0EDAD361-AB4A-42CF-90F0-85A9C71D52FC}" destId="{77C14186-35A7-43BD-9445-9F43ECE7A4C8}" srcOrd="3" destOrd="0" presId="urn:microsoft.com/office/officeart/2005/8/layout/bList2"/>
    <dgm:cxn modelId="{4251961B-2EDF-4BAF-ADF6-2F786AC543CA}" type="presParOf" srcId="{0F118B97-040C-49EE-8ADE-408FA6AF075E}" destId="{EE6903A5-2E77-4C8F-9C2D-545D4E922951}" srcOrd="5" destOrd="0" presId="urn:microsoft.com/office/officeart/2005/8/layout/bList2"/>
    <dgm:cxn modelId="{99705E47-748A-475D-AF78-67453169F92D}" type="presParOf" srcId="{0F118B97-040C-49EE-8ADE-408FA6AF075E}" destId="{A4C92BE4-69DB-49A1-8C7A-EA8C6BBC55A5}" srcOrd="6" destOrd="0" presId="urn:microsoft.com/office/officeart/2005/8/layout/bList2"/>
    <dgm:cxn modelId="{6F796451-0D3F-40F1-80B3-2B104DFC83B3}" type="presParOf" srcId="{A4C92BE4-69DB-49A1-8C7A-EA8C6BBC55A5}" destId="{99E58898-9608-4DFF-ABCC-0972528953FF}" srcOrd="0" destOrd="0" presId="urn:microsoft.com/office/officeart/2005/8/layout/bList2"/>
    <dgm:cxn modelId="{5F30D0B7-D497-4382-8538-DDE36286C266}" type="presParOf" srcId="{A4C92BE4-69DB-49A1-8C7A-EA8C6BBC55A5}" destId="{CC27C853-6F91-4CD1-9702-66670E22DBF1}" srcOrd="1" destOrd="0" presId="urn:microsoft.com/office/officeart/2005/8/layout/bList2"/>
    <dgm:cxn modelId="{1C856365-C91C-42EF-B125-10AC63A14CB6}" type="presParOf" srcId="{A4C92BE4-69DB-49A1-8C7A-EA8C6BBC55A5}" destId="{324B820C-BB7C-4F2F-88C3-8A607CEC4E47}" srcOrd="2" destOrd="0" presId="urn:microsoft.com/office/officeart/2005/8/layout/bList2"/>
    <dgm:cxn modelId="{2B14EE57-324F-4A88-9F6A-F7AAE79211A8}" type="presParOf" srcId="{A4C92BE4-69DB-49A1-8C7A-EA8C6BBC55A5}" destId="{7BAFAA5A-D050-4F3E-A648-7EE2A89A660D}" srcOrd="3" destOrd="0" presId="urn:microsoft.com/office/officeart/2005/8/layout/bList2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2A2B50A-42AF-4523-B04E-CC3396A2EBE9}">
      <dsp:nvSpPr>
        <dsp:cNvPr id="0" name=""/>
        <dsp:cNvSpPr/>
      </dsp:nvSpPr>
      <dsp:spPr>
        <a:xfrm>
          <a:off x="7577" y="438797"/>
          <a:ext cx="2687025" cy="2005807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0320" tIns="60960" rIns="20320" bIns="20320" numCol="1" spcCol="1270" anchor="t" anchorCtr="0">
          <a:noAutofit/>
        </a:bodyPr>
        <a:lstStyle/>
        <a:p>
          <a:pPr marL="171450" lvl="1" indent="-171450" algn="l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600" kern="1200">
              <a:latin typeface="Montserrat" pitchFamily="2" charset="0"/>
            </a:rPr>
            <a:t>Reflete o ciclo anterior</a:t>
          </a:r>
        </a:p>
        <a:p>
          <a:pPr marL="171450" lvl="1" indent="-171450" algn="l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600" kern="1200">
              <a:latin typeface="Montserrat" pitchFamily="2" charset="0"/>
            </a:rPr>
            <a:t>Avalia as competencias comportamentais</a:t>
          </a:r>
        </a:p>
      </dsp:txBody>
      <dsp:txXfrm>
        <a:off x="54575" y="485795"/>
        <a:ext cx="2593029" cy="1958809"/>
      </dsp:txXfrm>
    </dsp:sp>
    <dsp:sp modelId="{2CDC5007-FEB6-41AB-85AF-3F098BACE295}">
      <dsp:nvSpPr>
        <dsp:cNvPr id="0" name=""/>
        <dsp:cNvSpPr/>
      </dsp:nvSpPr>
      <dsp:spPr>
        <a:xfrm>
          <a:off x="7577" y="2444604"/>
          <a:ext cx="2687025" cy="862497"/>
        </a:xfrm>
        <a:prstGeom prst="rect">
          <a:avLst/>
        </a:prstGeom>
        <a:solidFill>
          <a:schemeClr val="tx2"/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5730" tIns="0" rIns="41910" bIns="0" numCol="1" spcCol="1270" anchor="ctr" anchorCtr="0">
          <a:noAutofit/>
        </a:bodyPr>
        <a:lstStyle/>
        <a:p>
          <a:pPr marL="0" lvl="0" indent="0" algn="l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3300" kern="1200">
              <a:latin typeface="Montserrat" pitchFamily="2" charset="0"/>
            </a:rPr>
            <a:t>Jan</a:t>
          </a:r>
        </a:p>
      </dsp:txBody>
      <dsp:txXfrm>
        <a:off x="7577" y="2444604"/>
        <a:ext cx="1892271" cy="862497"/>
      </dsp:txXfrm>
    </dsp:sp>
    <dsp:sp modelId="{E8CACFFA-26B5-466A-8CFF-3F62E80AB7BC}">
      <dsp:nvSpPr>
        <dsp:cNvPr id="0" name=""/>
        <dsp:cNvSpPr/>
      </dsp:nvSpPr>
      <dsp:spPr>
        <a:xfrm>
          <a:off x="1975860" y="2581604"/>
          <a:ext cx="940458" cy="940458"/>
        </a:xfrm>
        <a:prstGeom prst="ellipse">
          <a:avLst/>
        </a:prstGeom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0D928639-4161-4986-A86B-287AD88DD5E4}">
      <dsp:nvSpPr>
        <dsp:cNvPr id="0" name=""/>
        <dsp:cNvSpPr/>
      </dsp:nvSpPr>
      <dsp:spPr>
        <a:xfrm>
          <a:off x="3149311" y="438797"/>
          <a:ext cx="2687025" cy="2005807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0320" tIns="60960" rIns="20320" bIns="20320" numCol="1" spcCol="1270" anchor="t" anchorCtr="0">
          <a:noAutofit/>
        </a:bodyPr>
        <a:lstStyle/>
        <a:p>
          <a:pPr marL="171450" lvl="1" indent="-171450" algn="l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600" kern="1200">
              <a:latin typeface="Montserrat" pitchFamily="2" charset="0"/>
            </a:rPr>
            <a:t>Sugere Objetivos e KPIs Individuais para o ano</a:t>
          </a:r>
        </a:p>
      </dsp:txBody>
      <dsp:txXfrm>
        <a:off x="3196309" y="485795"/>
        <a:ext cx="2593029" cy="1958809"/>
      </dsp:txXfrm>
    </dsp:sp>
    <dsp:sp modelId="{B973CE5C-2EA8-4C60-A52A-C53EFBE31A66}">
      <dsp:nvSpPr>
        <dsp:cNvPr id="0" name=""/>
        <dsp:cNvSpPr/>
      </dsp:nvSpPr>
      <dsp:spPr>
        <a:xfrm>
          <a:off x="3149311" y="2444604"/>
          <a:ext cx="2687025" cy="862497"/>
        </a:xfrm>
        <a:prstGeom prst="rect">
          <a:avLst/>
        </a:prstGeom>
        <a:solidFill>
          <a:schemeClr val="tx2"/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5730" tIns="0" rIns="41910" bIns="0" numCol="1" spcCol="1270" anchor="ctr" anchorCtr="0">
          <a:noAutofit/>
        </a:bodyPr>
        <a:lstStyle/>
        <a:p>
          <a:pPr marL="0" lvl="0" indent="0" algn="l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3300" kern="1200">
              <a:latin typeface="Montserrat" pitchFamily="2" charset="0"/>
            </a:rPr>
            <a:t>Fev-Mar</a:t>
          </a:r>
        </a:p>
      </dsp:txBody>
      <dsp:txXfrm>
        <a:off x="3149311" y="2444604"/>
        <a:ext cx="1892271" cy="862497"/>
      </dsp:txXfrm>
    </dsp:sp>
    <dsp:sp modelId="{39EF9509-BD59-44C1-A9A5-99B093DF6732}">
      <dsp:nvSpPr>
        <dsp:cNvPr id="0" name=""/>
        <dsp:cNvSpPr/>
      </dsp:nvSpPr>
      <dsp:spPr>
        <a:xfrm>
          <a:off x="5117594" y="2581604"/>
          <a:ext cx="940458" cy="940458"/>
        </a:xfrm>
        <a:prstGeom prst="ellipse">
          <a:avLst/>
        </a:prstGeom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>
            <a:fillRect/>
          </a:stretch>
        </a:blip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6839E8D7-86B8-4E27-91CB-506974A05471}">
      <dsp:nvSpPr>
        <dsp:cNvPr id="0" name=""/>
        <dsp:cNvSpPr/>
      </dsp:nvSpPr>
      <dsp:spPr>
        <a:xfrm>
          <a:off x="6291046" y="438797"/>
          <a:ext cx="2687025" cy="2005807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0320" tIns="60960" rIns="20320" bIns="20320" numCol="1" spcCol="1270" anchor="t" anchorCtr="0">
          <a:noAutofit/>
        </a:bodyPr>
        <a:lstStyle/>
        <a:p>
          <a:pPr marL="171450" lvl="1" indent="-171450" algn="l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lr>
              <a:srgbClr val="000000"/>
            </a:buClr>
            <a:buSzPts val="1100"/>
            <a:buFont typeface="Calibri" panose="020F0502020204030204" pitchFamily="34" charset="0"/>
            <a:buNone/>
          </a:pPr>
          <a:r>
            <a:rPr lang="pt-BR" sz="1600" kern="1200">
              <a:latin typeface="Montserrat" pitchFamily="2" charset="0"/>
            </a:rPr>
            <a:t>Avaliação Intercalar</a:t>
          </a:r>
        </a:p>
        <a:p>
          <a:pPr marL="171450" lvl="1" indent="-171450" algn="l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600" kern="1200">
              <a:latin typeface="Montserrat" pitchFamily="2" charset="0"/>
            </a:rPr>
            <a:t>Reve os KPIS individuais junto com a Liderança </a:t>
          </a:r>
        </a:p>
      </dsp:txBody>
      <dsp:txXfrm>
        <a:off x="6338044" y="485795"/>
        <a:ext cx="2593029" cy="1958809"/>
      </dsp:txXfrm>
    </dsp:sp>
    <dsp:sp modelId="{558E5F9D-1A94-4867-9E2C-25EAAAD69326}">
      <dsp:nvSpPr>
        <dsp:cNvPr id="0" name=""/>
        <dsp:cNvSpPr/>
      </dsp:nvSpPr>
      <dsp:spPr>
        <a:xfrm>
          <a:off x="6291046" y="2444604"/>
          <a:ext cx="2687025" cy="862497"/>
        </a:xfrm>
        <a:prstGeom prst="rect">
          <a:avLst/>
        </a:prstGeom>
        <a:solidFill>
          <a:schemeClr val="tx2"/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5730" tIns="0" rIns="41910" bIns="0" numCol="1" spcCol="1270" anchor="ctr" anchorCtr="0">
          <a:noAutofit/>
        </a:bodyPr>
        <a:lstStyle/>
        <a:p>
          <a:pPr marL="0" lvl="0" indent="0" algn="l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3300" kern="1200">
              <a:latin typeface="Montserrat" pitchFamily="2" charset="0"/>
            </a:rPr>
            <a:t>Jul-Ago</a:t>
          </a:r>
        </a:p>
      </dsp:txBody>
      <dsp:txXfrm>
        <a:off x="6291046" y="2444604"/>
        <a:ext cx="1892271" cy="862497"/>
      </dsp:txXfrm>
    </dsp:sp>
    <dsp:sp modelId="{77C14186-35A7-43BD-9445-9F43ECE7A4C8}">
      <dsp:nvSpPr>
        <dsp:cNvPr id="0" name=""/>
        <dsp:cNvSpPr/>
      </dsp:nvSpPr>
      <dsp:spPr>
        <a:xfrm>
          <a:off x="8259329" y="2581604"/>
          <a:ext cx="940458" cy="940458"/>
        </a:xfrm>
        <a:prstGeom prst="ellipse">
          <a:avLst/>
        </a:prstGeom>
        <a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>
            <a:fillRect/>
          </a:stretch>
        </a:blip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99E58898-9608-4DFF-ABCC-0972528953FF}">
      <dsp:nvSpPr>
        <dsp:cNvPr id="0" name=""/>
        <dsp:cNvSpPr/>
      </dsp:nvSpPr>
      <dsp:spPr>
        <a:xfrm>
          <a:off x="9432780" y="438797"/>
          <a:ext cx="2687025" cy="2005807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0320" tIns="60960" rIns="20320" bIns="20320" numCol="1" spcCol="1270" anchor="t" anchorCtr="0">
          <a:noAutofit/>
        </a:bodyPr>
        <a:lstStyle/>
        <a:p>
          <a:pPr marL="171450" lvl="1" indent="-171450" algn="l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600" kern="1200">
              <a:latin typeface="Montserrat" pitchFamily="2" charset="0"/>
            </a:rPr>
            <a:t>Realiza avaliação da chefia</a:t>
          </a:r>
        </a:p>
        <a:p>
          <a:pPr marL="171450" lvl="1" indent="-171450" algn="l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600" kern="1200">
              <a:latin typeface="Montserrat" pitchFamily="2" charset="0"/>
            </a:rPr>
            <a:t>Reflete sobre evolução, interesses e necessidades para o próximo ciclo.</a:t>
          </a:r>
        </a:p>
      </dsp:txBody>
      <dsp:txXfrm>
        <a:off x="9479778" y="485795"/>
        <a:ext cx="2593029" cy="1958809"/>
      </dsp:txXfrm>
    </dsp:sp>
    <dsp:sp modelId="{324B820C-BB7C-4F2F-88C3-8A607CEC4E47}">
      <dsp:nvSpPr>
        <dsp:cNvPr id="0" name=""/>
        <dsp:cNvSpPr/>
      </dsp:nvSpPr>
      <dsp:spPr>
        <a:xfrm>
          <a:off x="9432780" y="2444604"/>
          <a:ext cx="2687025" cy="862497"/>
        </a:xfrm>
        <a:prstGeom prst="rect">
          <a:avLst/>
        </a:prstGeom>
        <a:solidFill>
          <a:schemeClr val="tx2"/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5730" tIns="0" rIns="41910" bIns="0" numCol="1" spcCol="1270" anchor="ctr" anchorCtr="0">
          <a:noAutofit/>
        </a:bodyPr>
        <a:lstStyle/>
        <a:p>
          <a:pPr marL="0" lvl="0" indent="0" algn="l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3300" kern="1200">
              <a:latin typeface="Montserrat" pitchFamily="2" charset="0"/>
            </a:rPr>
            <a:t>Dez</a:t>
          </a:r>
        </a:p>
      </dsp:txBody>
      <dsp:txXfrm>
        <a:off x="9432780" y="2444604"/>
        <a:ext cx="1892271" cy="862497"/>
      </dsp:txXfrm>
    </dsp:sp>
    <dsp:sp modelId="{7BAFAA5A-D050-4F3E-A648-7EE2A89A660D}">
      <dsp:nvSpPr>
        <dsp:cNvPr id="0" name=""/>
        <dsp:cNvSpPr/>
      </dsp:nvSpPr>
      <dsp:spPr>
        <a:xfrm>
          <a:off x="11401063" y="2581604"/>
          <a:ext cx="940458" cy="940458"/>
        </a:xfrm>
        <a:prstGeom prst="ellipse">
          <a:avLst/>
        </a:pr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>
            <a:fillRect/>
          </a:stretch>
        </a:blip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2A2B50A-42AF-4523-B04E-CC3396A2EBE9}">
      <dsp:nvSpPr>
        <dsp:cNvPr id="0" name=""/>
        <dsp:cNvSpPr/>
      </dsp:nvSpPr>
      <dsp:spPr>
        <a:xfrm>
          <a:off x="7599" y="802755"/>
          <a:ext cx="2694994" cy="2011756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9050" tIns="57150" rIns="19050" bIns="19050" numCol="1" spcCol="1270" anchor="t" anchorCtr="0">
          <a:noAutofit/>
        </a:bodyPr>
        <a:lstStyle/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>
              <a:latin typeface="Montserrat" pitchFamily="2" charset="0"/>
            </a:rPr>
            <a:t>Reflete o ciclo anterior</a:t>
          </a: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>
              <a:latin typeface="Montserrat" pitchFamily="2" charset="0"/>
            </a:rPr>
            <a:t>Valida as competências comportamentais</a:t>
          </a: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 dirty="0">
              <a:latin typeface="Montserrat" pitchFamily="2" charset="0"/>
              <a:ea typeface="+mn-ea"/>
              <a:cs typeface="+mn-cs"/>
            </a:rPr>
            <a:t>Realiza reuniões de alinhamento com o colaborador 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 dirty="0">
              <a:latin typeface="Montserrat" pitchFamily="2" charset="0"/>
              <a:ea typeface="+mn-ea"/>
              <a:cs typeface="+mn-cs"/>
            </a:rPr>
            <a:t>Apura os prêmios com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 dirty="0">
              <a:latin typeface="Montserrat" pitchFamily="2" charset="0"/>
              <a:ea typeface="+mn-ea"/>
              <a:cs typeface="+mn-cs"/>
            </a:rPr>
            <a:t> base nos resultados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</dsp:txBody>
      <dsp:txXfrm>
        <a:off x="54737" y="849893"/>
        <a:ext cx="2600718" cy="1964618"/>
      </dsp:txXfrm>
    </dsp:sp>
    <dsp:sp modelId="{2CDC5007-FEB6-41AB-85AF-3F098BACE295}">
      <dsp:nvSpPr>
        <dsp:cNvPr id="0" name=""/>
        <dsp:cNvSpPr/>
      </dsp:nvSpPr>
      <dsp:spPr>
        <a:xfrm>
          <a:off x="7599" y="2814512"/>
          <a:ext cx="2694994" cy="865055"/>
        </a:xfrm>
        <a:prstGeom prst="rect">
          <a:avLst/>
        </a:prstGeom>
        <a:solidFill>
          <a:schemeClr val="tx2"/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25730" tIns="0" rIns="41910" bIns="0" numCol="1" spcCol="1270" anchor="ctr" anchorCtr="0">
          <a:noAutofit/>
        </a:bodyPr>
        <a:lstStyle/>
        <a:p>
          <a:pPr marL="0" lvl="0" indent="0" algn="l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3300" kern="1200">
              <a:latin typeface="Montserrat" pitchFamily="2" charset="0"/>
            </a:rPr>
            <a:t>Jan</a:t>
          </a:r>
        </a:p>
      </dsp:txBody>
      <dsp:txXfrm>
        <a:off x="7599" y="2814512"/>
        <a:ext cx="1897883" cy="865055"/>
      </dsp:txXfrm>
    </dsp:sp>
    <dsp:sp modelId="{E8CACFFA-26B5-466A-8CFF-3F62E80AB7BC}">
      <dsp:nvSpPr>
        <dsp:cNvPr id="0" name=""/>
        <dsp:cNvSpPr/>
      </dsp:nvSpPr>
      <dsp:spPr>
        <a:xfrm>
          <a:off x="1981720" y="2951918"/>
          <a:ext cx="943248" cy="943248"/>
        </a:xfrm>
        <a:prstGeom prst="ellipse">
          <a:avLst/>
        </a:prstGeom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0D928639-4161-4986-A86B-287AD88DD5E4}">
      <dsp:nvSpPr>
        <dsp:cNvPr id="0" name=""/>
        <dsp:cNvSpPr/>
      </dsp:nvSpPr>
      <dsp:spPr>
        <a:xfrm>
          <a:off x="3158652" y="802755"/>
          <a:ext cx="2694994" cy="2011756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9050" tIns="57150" rIns="19050" bIns="19050" numCol="1" spcCol="1270" anchor="t" anchorCtr="0">
          <a:noAutofit/>
        </a:bodyPr>
        <a:lstStyle/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>
              <a:latin typeface="Montserrat" pitchFamily="2" charset="0"/>
            </a:rPr>
            <a:t>Define Objetivos e KPIs Individuais para o ano</a:t>
          </a: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 dirty="0">
              <a:latin typeface="Montserrat" pitchFamily="2" charset="0"/>
              <a:ea typeface="+mn-ea"/>
              <a:cs typeface="+mn-cs"/>
            </a:rPr>
            <a:t>Realiza reuniões de alinhamento com o colaborador </a:t>
          </a:r>
          <a:endParaRPr lang="pt-BR" sz="1500" kern="1200">
            <a:latin typeface="Montserrat" pitchFamily="2" charset="0"/>
          </a:endParaRPr>
        </a:p>
      </dsp:txBody>
      <dsp:txXfrm>
        <a:off x="3205790" y="849893"/>
        <a:ext cx="2600718" cy="1964618"/>
      </dsp:txXfrm>
    </dsp:sp>
    <dsp:sp modelId="{B973CE5C-2EA8-4C60-A52A-C53EFBE31A66}">
      <dsp:nvSpPr>
        <dsp:cNvPr id="0" name=""/>
        <dsp:cNvSpPr/>
      </dsp:nvSpPr>
      <dsp:spPr>
        <a:xfrm>
          <a:off x="3158652" y="2814512"/>
          <a:ext cx="2694994" cy="865055"/>
        </a:xfrm>
        <a:prstGeom prst="rect">
          <a:avLst/>
        </a:prstGeom>
        <a:solidFill>
          <a:schemeClr val="tx2"/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25730" tIns="0" rIns="41910" bIns="0" numCol="1" spcCol="1270" anchor="ctr" anchorCtr="0">
          <a:noAutofit/>
        </a:bodyPr>
        <a:lstStyle/>
        <a:p>
          <a:pPr marL="0" lvl="0" indent="0" algn="l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3300" kern="1200">
              <a:latin typeface="Montserrat" pitchFamily="2" charset="0"/>
            </a:rPr>
            <a:t>Fev-Mar</a:t>
          </a:r>
        </a:p>
      </dsp:txBody>
      <dsp:txXfrm>
        <a:off x="3158652" y="2814512"/>
        <a:ext cx="1897883" cy="865055"/>
      </dsp:txXfrm>
    </dsp:sp>
    <dsp:sp modelId="{39EF9509-BD59-44C1-A9A5-99B093DF6732}">
      <dsp:nvSpPr>
        <dsp:cNvPr id="0" name=""/>
        <dsp:cNvSpPr/>
      </dsp:nvSpPr>
      <dsp:spPr>
        <a:xfrm>
          <a:off x="5132773" y="2951918"/>
          <a:ext cx="943248" cy="943248"/>
        </a:xfrm>
        <a:prstGeom prst="ellipse">
          <a:avLst/>
        </a:prstGeom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6839E8D7-86B8-4E27-91CB-506974A05471}">
      <dsp:nvSpPr>
        <dsp:cNvPr id="0" name=""/>
        <dsp:cNvSpPr/>
      </dsp:nvSpPr>
      <dsp:spPr>
        <a:xfrm>
          <a:off x="6309705" y="802755"/>
          <a:ext cx="2694994" cy="2011756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9050" tIns="57150" rIns="19050" bIns="19050" numCol="1" spcCol="1270" anchor="t" anchorCtr="0">
          <a:noAutofit/>
        </a:bodyPr>
        <a:lstStyle/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lr>
              <a:srgbClr val="000000"/>
            </a:buClr>
            <a:buSzPts val="1100"/>
            <a:buFont typeface="Calibri" panose="020F0502020204030204" pitchFamily="34" charset="0"/>
            <a:buNone/>
          </a:pPr>
          <a:r>
            <a:rPr lang="pt-BR" sz="1500" kern="1200">
              <a:latin typeface="Montserrat" pitchFamily="2" charset="0"/>
            </a:rPr>
            <a:t>Avaliação Intercalar</a:t>
          </a: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 dirty="0">
              <a:latin typeface="Montserrat" pitchFamily="2" charset="0"/>
              <a:ea typeface="+mn-ea"/>
              <a:cs typeface="+mn-cs"/>
            </a:rPr>
            <a:t>Acompanha o desempenho e evolução do colaborador 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 dirty="0">
              <a:latin typeface="Montserrat" pitchFamily="2" charset="0"/>
              <a:ea typeface="+mn-ea"/>
              <a:cs typeface="+mn-cs"/>
            </a:rPr>
            <a:t>Realinha os KPIS, se necessário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</dsp:txBody>
      <dsp:txXfrm>
        <a:off x="6356843" y="849893"/>
        <a:ext cx="2600718" cy="1964618"/>
      </dsp:txXfrm>
    </dsp:sp>
    <dsp:sp modelId="{558E5F9D-1A94-4867-9E2C-25EAAAD69326}">
      <dsp:nvSpPr>
        <dsp:cNvPr id="0" name=""/>
        <dsp:cNvSpPr/>
      </dsp:nvSpPr>
      <dsp:spPr>
        <a:xfrm>
          <a:off x="6309705" y="2814512"/>
          <a:ext cx="2694994" cy="865055"/>
        </a:xfrm>
        <a:prstGeom prst="rect">
          <a:avLst/>
        </a:prstGeom>
        <a:solidFill>
          <a:schemeClr val="tx2"/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25730" tIns="0" rIns="41910" bIns="0" numCol="1" spcCol="1270" anchor="ctr" anchorCtr="0">
          <a:noAutofit/>
        </a:bodyPr>
        <a:lstStyle/>
        <a:p>
          <a:pPr marL="0" lvl="0" indent="0" algn="l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3300" kern="1200">
              <a:latin typeface="Montserrat" pitchFamily="2" charset="0"/>
            </a:rPr>
            <a:t>Jul-Ago</a:t>
          </a:r>
        </a:p>
      </dsp:txBody>
      <dsp:txXfrm>
        <a:off x="6309705" y="2814512"/>
        <a:ext cx="1897883" cy="865055"/>
      </dsp:txXfrm>
    </dsp:sp>
    <dsp:sp modelId="{77C14186-35A7-43BD-9445-9F43ECE7A4C8}">
      <dsp:nvSpPr>
        <dsp:cNvPr id="0" name=""/>
        <dsp:cNvSpPr/>
      </dsp:nvSpPr>
      <dsp:spPr>
        <a:xfrm>
          <a:off x="8283826" y="2951918"/>
          <a:ext cx="943248" cy="943248"/>
        </a:xfrm>
        <a:prstGeom prst="ellipse">
          <a:avLst/>
        </a:prstGeom>
        <a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99E58898-9608-4DFF-ABCC-0972528953FF}">
      <dsp:nvSpPr>
        <dsp:cNvPr id="0" name=""/>
        <dsp:cNvSpPr/>
      </dsp:nvSpPr>
      <dsp:spPr>
        <a:xfrm>
          <a:off x="9460758" y="802755"/>
          <a:ext cx="2694994" cy="2011756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9050" tIns="57150" rIns="19050" bIns="19050" numCol="1" spcCol="1270" anchor="t" anchorCtr="0">
          <a:noAutofit/>
        </a:bodyPr>
        <a:lstStyle/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 dirty="0">
              <a:latin typeface="Montserrat" pitchFamily="2" charset="0"/>
              <a:ea typeface="+mn-ea"/>
              <a:cs typeface="+mn-cs"/>
            </a:rPr>
            <a:t>Consolida e fecha os KPIs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 dirty="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Montserrat" pitchFamily="2" charset="0"/>
              <a:ea typeface="+mn-ea"/>
              <a:cs typeface="+mn-cs"/>
            </a:rPr>
            <a:t>Identifica as prioridades de desenvolvimento e as necessidades individuais e organizacionais</a:t>
          </a:r>
          <a:endParaRPr lang="pt-BR" sz="1500" kern="1200">
            <a:solidFill>
              <a:sysClr val="windowText" lastClr="000000">
                <a:hueOff val="0"/>
                <a:satOff val="0"/>
                <a:lumOff val="0"/>
                <a:alphaOff val="0"/>
              </a:sysClr>
            </a:solidFill>
            <a:latin typeface="Montserrat" pitchFamily="2" charset="0"/>
            <a:ea typeface="+mn-ea"/>
            <a:cs typeface="+mn-cs"/>
          </a:endParaRPr>
        </a:p>
      </dsp:txBody>
      <dsp:txXfrm>
        <a:off x="9507896" y="849893"/>
        <a:ext cx="2600718" cy="1964618"/>
      </dsp:txXfrm>
    </dsp:sp>
    <dsp:sp modelId="{324B820C-BB7C-4F2F-88C3-8A607CEC4E47}">
      <dsp:nvSpPr>
        <dsp:cNvPr id="0" name=""/>
        <dsp:cNvSpPr/>
      </dsp:nvSpPr>
      <dsp:spPr>
        <a:xfrm>
          <a:off x="9460758" y="2814512"/>
          <a:ext cx="2694994" cy="865055"/>
        </a:xfrm>
        <a:prstGeom prst="rect">
          <a:avLst/>
        </a:prstGeom>
        <a:solidFill>
          <a:schemeClr val="tx2"/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25730" tIns="0" rIns="41910" bIns="0" numCol="1" spcCol="1270" anchor="ctr" anchorCtr="0">
          <a:noAutofit/>
        </a:bodyPr>
        <a:lstStyle/>
        <a:p>
          <a:pPr marL="0" lvl="0" indent="0" algn="l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3300" kern="1200">
              <a:latin typeface="Montserrat" pitchFamily="2" charset="0"/>
            </a:rPr>
            <a:t>Dez</a:t>
          </a:r>
        </a:p>
      </dsp:txBody>
      <dsp:txXfrm>
        <a:off x="9460758" y="2814512"/>
        <a:ext cx="1897883" cy="865055"/>
      </dsp:txXfrm>
    </dsp:sp>
    <dsp:sp modelId="{7BAFAA5A-D050-4F3E-A648-7EE2A89A660D}">
      <dsp:nvSpPr>
        <dsp:cNvPr id="0" name=""/>
        <dsp:cNvSpPr/>
      </dsp:nvSpPr>
      <dsp:spPr>
        <a:xfrm>
          <a:off x="11434878" y="2951918"/>
          <a:ext cx="943248" cy="943248"/>
        </a:xfrm>
        <a:prstGeom prst="ellipse">
          <a:avLst/>
        </a:pr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bList2">
  <dgm:title val=""/>
  <dgm:desc val=""/>
  <dgm:catLst>
    <dgm:cat type="list" pri="7000"/>
    <dgm:cat type="convert" pri="16000"/>
    <dgm:cat type="picture" pri="28000"/>
    <dgm:cat type="pictureconvert" pri="28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dir/>
      <dgm:animLvl val="lvl"/>
      <dgm:resizeHandles val="exact"/>
    </dgm:varLst>
    <dgm:choose name="Name0">
      <dgm:if name="Name1" axis="self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w" for="ch" ptType="sibTrans" refType="w" refFor="ch" refForName="compNode" op="equ" fact="0.08"/>
      <dgm:constr type="sp" refType="w" refFor="ch" refForName="compNode" op="equ" fact="0.16"/>
      <dgm:constr type="primFontSz" for="des" forName="parentText" op="equ" val="65"/>
      <dgm:constr type="primFontSz" for="des" forName="childRect" op="equ" val="65"/>
    </dgm:constrLst>
    <dgm:ruleLst/>
    <dgm:forEach name="nodesForEach" axis="ch" ptType="node">
      <dgm:layoutNode name="compNode">
        <dgm:alg type="composite">
          <dgm:param type="ar" val="0.943"/>
        </dgm:alg>
        <dgm:shape xmlns:r="http://schemas.openxmlformats.org/officeDocument/2006/relationships" r:blip="">
          <dgm:adjLst/>
        </dgm:shape>
        <dgm:presOf/>
        <dgm:choose name="Name3">
          <dgm:if name="Name4" axis="self" func="var" arg="dir" op="equ" val="norm">
            <dgm:constrLst>
              <dgm:constr type="w" val="1"/>
              <dgm:constr type="h" refType="w" fact="1.06"/>
              <dgm:constr type="h" for="ch" forName="childRect" refType="h" fact="0.65"/>
              <dgm:constr type="w" for="ch" forName="childRect" refType="w" fact="0.923"/>
              <dgm:constr type="l" for="ch" forName="childRect"/>
              <dgm:constr type="t" for="ch" forName="childRect"/>
              <dgm:constr type="w" for="ch" forName="parentText" refType="w" fact="0.65"/>
              <dgm:constr type="h" for="ch" forName="parentText" refType="h" refFor="ch" refForName="childRect" fact="0.43"/>
              <dgm:constr type="l" for="ch" forName="parentText"/>
              <dgm:constr type="t" for="ch" forName="parentText" refType="h" refFor="ch" refForName="childRect"/>
              <dgm:constr type="w" for="ch" forName="parentRect" refType="w" fact="0.923"/>
              <dgm:constr type="h" for="ch" forName="parentRect" refType="h" refFor="ch" refForName="parentText"/>
              <dgm:constr type="l" for="ch" forName="parentRect"/>
              <dgm:constr type="t" for="ch" forName="parentRect" refType="t" refFor="ch" refForName="parentText"/>
              <dgm:constr type="w" for="ch" forName="adorn" refType="w" refFor="ch" refForName="parentRect" fact="0.35"/>
              <dgm:constr type="h" for="ch" forName="adorn" refType="w" refFor="ch" refForName="parentRect" fact="0.35"/>
              <dgm:constr type="b" for="ch" forName="adorn" refType="h"/>
              <dgm:constr type="r" for="ch" forName="adorn" refType="w"/>
            </dgm:constrLst>
          </dgm:if>
          <dgm:else name="Name5">
            <dgm:constrLst>
              <dgm:constr type="w" val="1"/>
              <dgm:constr type="h" refType="w" fact="1.06"/>
              <dgm:constr type="h" for="ch" forName="childRect" refType="h" fact="0.65"/>
              <dgm:constr type="w" for="ch" forName="childRect" refType="w" fact="0.923"/>
              <dgm:constr type="r" for="ch" forName="childRect" refType="w"/>
              <dgm:constr type="t" for="ch" forName="childRect"/>
              <dgm:constr type="w" for="ch" forName="parentText" refType="w" fact="0.65"/>
              <dgm:constr type="h" for="ch" forName="parentText" refType="h" refFor="ch" refForName="childRect" fact="0.43"/>
              <dgm:constr type="r" for="ch" forName="parentText" refType="w"/>
              <dgm:constr type="t" for="ch" forName="parentText" refType="h" refFor="ch" refForName="childRect"/>
              <dgm:constr type="w" for="ch" forName="parentRect" refType="w" fact="0.923"/>
              <dgm:constr type="h" for="ch" forName="parentRect" refType="h" refFor="ch" refForName="parentText"/>
              <dgm:constr type="r" for="ch" forName="parentRect" refType="w"/>
              <dgm:constr type="t" for="ch" forName="parentRect" refType="t" refFor="ch" refForName="parentText"/>
              <dgm:constr type="w" for="ch" forName="adorn" refType="w" refFor="ch" refForName="parentRect" fact="0.35"/>
              <dgm:constr type="h" for="ch" forName="adorn" refType="w" refFor="ch" refForName="parentRect" fact="0.35"/>
              <dgm:constr type="b" for="ch" forName="adorn" refType="h"/>
              <dgm:constr type="l" for="ch" forName="adorn"/>
            </dgm:constrLst>
          </dgm:else>
        </dgm:choose>
        <dgm:ruleLst/>
        <dgm:layoutNode name="childRect" styleLbl="bgAcc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ound2SameRect" r:blip="">
            <dgm:adjLst>
              <dgm:adj idx="1" val="0.08"/>
            </dgm:adjLst>
          </dgm:shape>
          <dgm:presOf axis="des" ptType="node"/>
          <dgm:constrLst>
            <dgm:constr type="secFontSz" refType="primFontSz"/>
            <dgm:constr type="tMarg" refType="primFontSz" fact="0.3"/>
            <dgm:constr type="bMarg" refType="primFontSz" fact="0.1"/>
            <dgm:constr type="lMarg" refType="primFontSz" fact="0.1"/>
            <dgm:constr type="rMarg" refType="primFontSz" fact="0.1"/>
          </dgm:constrLst>
          <dgm:ruleLst>
            <dgm:rule type="primFontSz" val="5" fact="NaN" max="NaN"/>
          </dgm:ruleLst>
        </dgm:layoutNode>
        <dgm:layoutNode name="parentText">
          <dgm:varLst>
            <dgm:chMax val="0"/>
            <dgm:bulletEnabled val="1"/>
          </dgm:varLst>
          <dgm:choose name="Name6">
            <dgm:if name="Name7" func="var" arg="dir" op="equ" val="norm">
              <dgm:alg type="tx">
                <dgm:param type="parTxLTRAlign" val="l"/>
                <dgm:param type="parTxRTLAlign" val="l"/>
              </dgm:alg>
            </dgm:if>
            <dgm:else name="Name8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ect" r:blip="" zOrderOff="1" hideGeom="1">
            <dgm:adjLst/>
          </dgm:shape>
          <dgm:presOf axis="self" ptType="node"/>
          <dgm:constrLst>
            <dgm:constr type="tMarg"/>
            <dgm:constr type="bMarg"/>
            <dgm:constr type="lMarg" refType="primFontSz" fact="0.3"/>
            <dgm:constr type="rMarg" refType="primFontSz" fact="0.1"/>
          </dgm:constrLst>
          <dgm:ruleLst>
            <dgm:rule type="primFontSz" val="5" fact="NaN" max="NaN"/>
          </dgm:ruleLst>
        </dgm:layoutNode>
        <dgm:layoutNode name="parentRect" styleLbl="alignNode1">
          <dgm:alg type="sp"/>
          <dgm:shape xmlns:r="http://schemas.openxmlformats.org/officeDocument/2006/relationships" type="rect" r:blip="">
            <dgm:adjLst/>
          </dgm:shape>
          <dgm:presOf axis="self" ptType="node"/>
          <dgm:constrLst/>
          <dgm:ruleLst/>
        </dgm:layoutNode>
        <dgm:layoutNode name="adorn" styleLbl="fgAccFollowNode1">
          <dgm:alg type="sp"/>
          <dgm:shape xmlns:r="http://schemas.openxmlformats.org/officeDocument/2006/relationships" type="ellipse" r:blip="" blipPhldr="1">
            <dgm:adjLst/>
          </dgm:shape>
          <dgm:presOf/>
          <dgm:constrLst/>
          <dgm:ruleLst/>
        </dgm:layoutNod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w" val="1"/>
            <dgm:constr type="h" refType="w"/>
          </dgm:constrLst>
          <dgm:ruleLst/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bList2">
  <dgm:title val=""/>
  <dgm:desc val=""/>
  <dgm:catLst>
    <dgm:cat type="list" pri="7000"/>
    <dgm:cat type="convert" pri="16000"/>
    <dgm:cat type="picture" pri="28000"/>
    <dgm:cat type="pictureconvert" pri="28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dir/>
      <dgm:animLvl val="lvl"/>
      <dgm:resizeHandles val="exact"/>
    </dgm:varLst>
    <dgm:choose name="Name0">
      <dgm:if name="Name1" axis="self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w" for="ch" ptType="sibTrans" refType="w" refFor="ch" refForName="compNode" op="equ" fact="0.08"/>
      <dgm:constr type="sp" refType="w" refFor="ch" refForName="compNode" op="equ" fact="0.16"/>
      <dgm:constr type="primFontSz" for="des" forName="parentText" op="equ" val="65"/>
      <dgm:constr type="primFontSz" for="des" forName="childRect" op="equ" val="65"/>
    </dgm:constrLst>
    <dgm:ruleLst/>
    <dgm:forEach name="nodesForEach" axis="ch" ptType="node">
      <dgm:layoutNode name="compNode">
        <dgm:alg type="composite">
          <dgm:param type="ar" val="0.943"/>
        </dgm:alg>
        <dgm:shape xmlns:r="http://schemas.openxmlformats.org/officeDocument/2006/relationships" r:blip="">
          <dgm:adjLst/>
        </dgm:shape>
        <dgm:presOf/>
        <dgm:choose name="Name3">
          <dgm:if name="Name4" axis="self" func="var" arg="dir" op="equ" val="norm">
            <dgm:constrLst>
              <dgm:constr type="w" val="1"/>
              <dgm:constr type="h" refType="w" fact="1.06"/>
              <dgm:constr type="h" for="ch" forName="childRect" refType="h" fact="0.65"/>
              <dgm:constr type="w" for="ch" forName="childRect" refType="w" fact="0.923"/>
              <dgm:constr type="l" for="ch" forName="childRect"/>
              <dgm:constr type="t" for="ch" forName="childRect"/>
              <dgm:constr type="w" for="ch" forName="parentText" refType="w" fact="0.65"/>
              <dgm:constr type="h" for="ch" forName="parentText" refType="h" refFor="ch" refForName="childRect" fact="0.43"/>
              <dgm:constr type="l" for="ch" forName="parentText"/>
              <dgm:constr type="t" for="ch" forName="parentText" refType="h" refFor="ch" refForName="childRect"/>
              <dgm:constr type="w" for="ch" forName="parentRect" refType="w" fact="0.923"/>
              <dgm:constr type="h" for="ch" forName="parentRect" refType="h" refFor="ch" refForName="parentText"/>
              <dgm:constr type="l" for="ch" forName="parentRect"/>
              <dgm:constr type="t" for="ch" forName="parentRect" refType="t" refFor="ch" refForName="parentText"/>
              <dgm:constr type="w" for="ch" forName="adorn" refType="w" refFor="ch" refForName="parentRect" fact="0.35"/>
              <dgm:constr type="h" for="ch" forName="adorn" refType="w" refFor="ch" refForName="parentRect" fact="0.35"/>
              <dgm:constr type="b" for="ch" forName="adorn" refType="h"/>
              <dgm:constr type="r" for="ch" forName="adorn" refType="w"/>
            </dgm:constrLst>
          </dgm:if>
          <dgm:else name="Name5">
            <dgm:constrLst>
              <dgm:constr type="w" val="1"/>
              <dgm:constr type="h" refType="w" fact="1.06"/>
              <dgm:constr type="h" for="ch" forName="childRect" refType="h" fact="0.65"/>
              <dgm:constr type="w" for="ch" forName="childRect" refType="w" fact="0.923"/>
              <dgm:constr type="r" for="ch" forName="childRect" refType="w"/>
              <dgm:constr type="t" for="ch" forName="childRect"/>
              <dgm:constr type="w" for="ch" forName="parentText" refType="w" fact="0.65"/>
              <dgm:constr type="h" for="ch" forName="parentText" refType="h" refFor="ch" refForName="childRect" fact="0.43"/>
              <dgm:constr type="r" for="ch" forName="parentText" refType="w"/>
              <dgm:constr type="t" for="ch" forName="parentText" refType="h" refFor="ch" refForName="childRect"/>
              <dgm:constr type="w" for="ch" forName="parentRect" refType="w" fact="0.923"/>
              <dgm:constr type="h" for="ch" forName="parentRect" refType="h" refFor="ch" refForName="parentText"/>
              <dgm:constr type="r" for="ch" forName="parentRect" refType="w"/>
              <dgm:constr type="t" for="ch" forName="parentRect" refType="t" refFor="ch" refForName="parentText"/>
              <dgm:constr type="w" for="ch" forName="adorn" refType="w" refFor="ch" refForName="parentRect" fact="0.35"/>
              <dgm:constr type="h" for="ch" forName="adorn" refType="w" refFor="ch" refForName="parentRect" fact="0.35"/>
              <dgm:constr type="b" for="ch" forName="adorn" refType="h"/>
              <dgm:constr type="l" for="ch" forName="adorn"/>
            </dgm:constrLst>
          </dgm:else>
        </dgm:choose>
        <dgm:ruleLst/>
        <dgm:layoutNode name="childRect" styleLbl="bgAcc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ound2SameRect" r:blip="">
            <dgm:adjLst>
              <dgm:adj idx="1" val="0.08"/>
            </dgm:adjLst>
          </dgm:shape>
          <dgm:presOf axis="des" ptType="node"/>
          <dgm:constrLst>
            <dgm:constr type="secFontSz" refType="primFontSz"/>
            <dgm:constr type="tMarg" refType="primFontSz" fact="0.3"/>
            <dgm:constr type="bMarg" refType="primFontSz" fact="0.1"/>
            <dgm:constr type="lMarg" refType="primFontSz" fact="0.1"/>
            <dgm:constr type="rMarg" refType="primFontSz" fact="0.1"/>
          </dgm:constrLst>
          <dgm:ruleLst>
            <dgm:rule type="primFontSz" val="5" fact="NaN" max="NaN"/>
          </dgm:ruleLst>
        </dgm:layoutNode>
        <dgm:layoutNode name="parentText">
          <dgm:varLst>
            <dgm:chMax val="0"/>
            <dgm:bulletEnabled val="1"/>
          </dgm:varLst>
          <dgm:choose name="Name6">
            <dgm:if name="Name7" func="var" arg="dir" op="equ" val="norm">
              <dgm:alg type="tx">
                <dgm:param type="parTxLTRAlign" val="l"/>
                <dgm:param type="parTxRTLAlign" val="l"/>
              </dgm:alg>
            </dgm:if>
            <dgm:else name="Name8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ect" r:blip="" zOrderOff="1" hideGeom="1">
            <dgm:adjLst/>
          </dgm:shape>
          <dgm:presOf axis="self" ptType="node"/>
          <dgm:constrLst>
            <dgm:constr type="tMarg"/>
            <dgm:constr type="bMarg"/>
            <dgm:constr type="lMarg" refType="primFontSz" fact="0.3"/>
            <dgm:constr type="rMarg" refType="primFontSz" fact="0.1"/>
          </dgm:constrLst>
          <dgm:ruleLst>
            <dgm:rule type="primFontSz" val="5" fact="NaN" max="NaN"/>
          </dgm:ruleLst>
        </dgm:layoutNode>
        <dgm:layoutNode name="parentRect" styleLbl="alignNode1">
          <dgm:alg type="sp"/>
          <dgm:shape xmlns:r="http://schemas.openxmlformats.org/officeDocument/2006/relationships" type="rect" r:blip="">
            <dgm:adjLst/>
          </dgm:shape>
          <dgm:presOf axis="self" ptType="node"/>
          <dgm:constrLst/>
          <dgm:ruleLst/>
        </dgm:layoutNode>
        <dgm:layoutNode name="adorn" styleLbl="fgAccFollowNode1">
          <dgm:alg type="sp"/>
          <dgm:shape xmlns:r="http://schemas.openxmlformats.org/officeDocument/2006/relationships" type="ellipse" r:blip="" blipPhldr="1">
            <dgm:adjLst/>
          </dgm:shape>
          <dgm:presOf/>
          <dgm:constrLst/>
          <dgm:ruleLst/>
        </dgm:layoutNod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w" val="1"/>
            <dgm:constr type="h" refType="w"/>
          </dgm:constrLst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8332434</xdr:colOff>
      <xdr:row>1</xdr:row>
      <xdr:rowOff>24423</xdr:rowOff>
    </xdr:from>
    <xdr:to>
      <xdr:col>1</xdr:col>
      <xdr:colOff>9290537</xdr:colOff>
      <xdr:row>1</xdr:row>
      <xdr:rowOff>573943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E8966B6-E695-F2E2-5A8F-062FA6989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4549" y="109904"/>
          <a:ext cx="958103" cy="549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189028</xdr:colOff>
      <xdr:row>1</xdr:row>
      <xdr:rowOff>117157</xdr:rowOff>
    </xdr:from>
    <xdr:to>
      <xdr:col>3</xdr:col>
      <xdr:colOff>2287905</xdr:colOff>
      <xdr:row>2</xdr:row>
      <xdr:rowOff>171449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3060A3-CC66-AA52-5E56-FE33DE57BF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84" r="4753" b="28151"/>
        <a:stretch>
          <a:fillRect/>
        </a:stretch>
      </xdr:blipFill>
      <xdr:spPr>
        <a:xfrm>
          <a:off x="189028" y="402907"/>
          <a:ext cx="2932315" cy="7324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84620</xdr:colOff>
      <xdr:row>0</xdr:row>
      <xdr:rowOff>48680</xdr:rowOff>
    </xdr:from>
    <xdr:to>
      <xdr:col>22</xdr:col>
      <xdr:colOff>241720</xdr:colOff>
      <xdr:row>17</xdr:row>
      <xdr:rowOff>161441</xdr:rowOff>
    </xdr:to>
    <xdr:graphicFrame macro="">
      <xdr:nvGraphicFramePr>
        <xdr:cNvPr id="10" name="Diagrama 9">
          <a:extLst>
            <a:ext uri="{FF2B5EF4-FFF2-40B4-BE49-F238E27FC236}">
              <a16:creationId xmlns:a16="http://schemas.microsoft.com/office/drawing/2014/main" id="{7C8A0579-CD25-70DA-4195-9FD2E0AB7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</xdr:col>
      <xdr:colOff>99322</xdr:colOff>
      <xdr:row>17</xdr:row>
      <xdr:rowOff>129153</xdr:rowOff>
    </xdr:from>
    <xdr:to>
      <xdr:col>22</xdr:col>
      <xdr:colOff>293049</xdr:colOff>
      <xdr:row>38</xdr:row>
      <xdr:rowOff>64576</xdr:rowOff>
    </xdr:to>
    <xdr:graphicFrame macro="">
      <xdr:nvGraphicFramePr>
        <xdr:cNvPr id="13" name="Diagrama 12">
          <a:extLst>
            <a:ext uri="{FF2B5EF4-FFF2-40B4-BE49-F238E27FC236}">
              <a16:creationId xmlns:a16="http://schemas.microsoft.com/office/drawing/2014/main" id="{695DDCF0-0094-4963-8BF4-115ED36F4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243727-79A1-419D-A932-40187087B781}" name="Tabela1" displayName="Tabela1" ref="A1:E31" totalsRowShown="0" headerRowDxfId="10" dataDxfId="9">
  <autoFilter ref="A1:E31" xr:uid="{57243727-79A1-419D-A932-40187087B781}"/>
  <tableColumns count="5">
    <tableColumn id="5" xr3:uid="{41110982-DF5D-40A9-A12E-40DDE0D5021C}" name="Controle" dataDxfId="8">
      <calculatedColumnFormula>Tabela1[[#This Row],[Nível]]&amp;Tabela1[[#This Row],[Valor]]</calculatedColumnFormula>
    </tableColumn>
    <tableColumn id="1" xr3:uid="{6D9C71E9-0E9F-4564-BC2E-D9B2D8D20393}" name="Valor" dataDxfId="7"/>
    <tableColumn id="2" xr3:uid="{9E169569-3807-470E-8031-4477ABFFFBE9}" name="Competência" dataDxfId="6"/>
    <tableColumn id="3" xr3:uid="{BCCA1AFD-A2E8-4F03-9CBC-4F0880607A4B}" name="Nível" dataDxfId="5"/>
    <tableColumn id="4" xr3:uid="{F971FCE7-6494-4D35-BC7D-4502358EFE94}" name="Comportamento Esperado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C7AC7-9881-4E05-AC0F-A3B61F56A687}">
  <dimension ref="B1:B79"/>
  <sheetViews>
    <sheetView showGridLines="0" topLeftCell="A4" zoomScale="69" zoomScaleNormal="78" workbookViewId="0">
      <selection activeCell="F29" sqref="F29"/>
    </sheetView>
  </sheetViews>
  <sheetFormatPr defaultColWidth="9.1796875" defaultRowHeight="16.5" x14ac:dyDescent="0.45"/>
  <cols>
    <col min="1" max="1" width="1.81640625" style="101" customWidth="1"/>
    <col min="2" max="2" width="141.26953125" style="101" bestFit="1" customWidth="1"/>
    <col min="3" max="16384" width="9.1796875" style="101"/>
  </cols>
  <sheetData>
    <row r="1" spans="2:2" ht="6.75" customHeight="1" thickBot="1" x14ac:dyDescent="0.5"/>
    <row r="2" spans="2:2" ht="55.5" customHeight="1" x14ac:dyDescent="0.45">
      <c r="B2" s="110" t="s">
        <v>141</v>
      </c>
    </row>
    <row r="3" spans="2:2" ht="66" x14ac:dyDescent="0.45">
      <c r="B3" s="108" t="s">
        <v>198</v>
      </c>
    </row>
    <row r="4" spans="2:2" x14ac:dyDescent="0.45">
      <c r="B4" s="108"/>
    </row>
    <row r="5" spans="2:2" x14ac:dyDescent="0.45">
      <c r="B5" s="102" t="s">
        <v>142</v>
      </c>
    </row>
    <row r="6" spans="2:2" x14ac:dyDescent="0.45">
      <c r="B6" s="104" t="s">
        <v>193</v>
      </c>
    </row>
    <row r="7" spans="2:2" x14ac:dyDescent="0.45">
      <c r="B7" s="103" t="s">
        <v>195</v>
      </c>
    </row>
    <row r="8" spans="2:2" x14ac:dyDescent="0.45">
      <c r="B8" s="103" t="s">
        <v>196</v>
      </c>
    </row>
    <row r="9" spans="2:2" x14ac:dyDescent="0.45">
      <c r="B9" s="103" t="s">
        <v>197</v>
      </c>
    </row>
    <row r="10" spans="2:2" x14ac:dyDescent="0.45">
      <c r="B10" s="104" t="s">
        <v>161</v>
      </c>
    </row>
    <row r="11" spans="2:2" x14ac:dyDescent="0.45">
      <c r="B11" s="104"/>
    </row>
    <row r="12" spans="2:2" x14ac:dyDescent="0.45">
      <c r="B12" s="102" t="s">
        <v>143</v>
      </c>
    </row>
    <row r="13" spans="2:2" x14ac:dyDescent="0.45">
      <c r="B13" s="105" t="s">
        <v>144</v>
      </c>
    </row>
    <row r="14" spans="2:2" x14ac:dyDescent="0.45">
      <c r="B14" s="104" t="s">
        <v>145</v>
      </c>
    </row>
    <row r="15" spans="2:2" x14ac:dyDescent="0.45">
      <c r="B15" s="103" t="s">
        <v>168</v>
      </c>
    </row>
    <row r="16" spans="2:2" x14ac:dyDescent="0.45">
      <c r="B16" s="103" t="s">
        <v>169</v>
      </c>
    </row>
    <row r="17" spans="2:2" x14ac:dyDescent="0.45">
      <c r="B17" s="103" t="s">
        <v>170</v>
      </c>
    </row>
    <row r="18" spans="2:2" x14ac:dyDescent="0.45">
      <c r="B18" s="103"/>
    </row>
    <row r="19" spans="2:2" x14ac:dyDescent="0.45">
      <c r="B19" s="105" t="s">
        <v>146</v>
      </c>
    </row>
    <row r="20" spans="2:2" x14ac:dyDescent="0.45">
      <c r="B20" s="102" t="s">
        <v>147</v>
      </c>
    </row>
    <row r="21" spans="2:2" x14ac:dyDescent="0.45">
      <c r="B21" s="104" t="s">
        <v>148</v>
      </c>
    </row>
    <row r="22" spans="2:2" x14ac:dyDescent="0.45">
      <c r="B22" s="103" t="s">
        <v>171</v>
      </c>
    </row>
    <row r="23" spans="2:2" x14ac:dyDescent="0.45">
      <c r="B23" s="103" t="s">
        <v>172</v>
      </c>
    </row>
    <row r="24" spans="2:2" x14ac:dyDescent="0.45">
      <c r="B24" s="103" t="s">
        <v>173</v>
      </c>
    </row>
    <row r="25" spans="2:2" x14ac:dyDescent="0.45">
      <c r="B25" s="104" t="s">
        <v>149</v>
      </c>
    </row>
    <row r="26" spans="2:2" x14ac:dyDescent="0.45">
      <c r="B26" s="104" t="s">
        <v>150</v>
      </c>
    </row>
    <row r="27" spans="2:2" x14ac:dyDescent="0.45">
      <c r="B27" s="102" t="s">
        <v>151</v>
      </c>
    </row>
    <row r="28" spans="2:2" x14ac:dyDescent="0.45">
      <c r="B28" s="104" t="s">
        <v>145</v>
      </c>
    </row>
    <row r="29" spans="2:2" x14ac:dyDescent="0.45">
      <c r="B29" s="103" t="s">
        <v>174</v>
      </c>
    </row>
    <row r="30" spans="2:2" x14ac:dyDescent="0.45">
      <c r="B30" s="103" t="s">
        <v>175</v>
      </c>
    </row>
    <row r="31" spans="2:2" x14ac:dyDescent="0.45">
      <c r="B31" s="103" t="s">
        <v>176</v>
      </c>
    </row>
    <row r="32" spans="2:2" x14ac:dyDescent="0.45">
      <c r="B32" s="104" t="s">
        <v>162</v>
      </c>
    </row>
    <row r="33" spans="2:2" x14ac:dyDescent="0.45">
      <c r="B33" s="104"/>
    </row>
    <row r="34" spans="2:2" x14ac:dyDescent="0.45">
      <c r="B34" s="105" t="s">
        <v>152</v>
      </c>
    </row>
    <row r="35" spans="2:2" x14ac:dyDescent="0.45">
      <c r="B35" s="104" t="s">
        <v>145</v>
      </c>
    </row>
    <row r="36" spans="2:2" ht="33" x14ac:dyDescent="0.45">
      <c r="B36" s="109" t="s">
        <v>199</v>
      </c>
    </row>
    <row r="37" spans="2:2" x14ac:dyDescent="0.45">
      <c r="B37" s="103" t="s">
        <v>177</v>
      </c>
    </row>
    <row r="38" spans="2:2" x14ac:dyDescent="0.45">
      <c r="B38" s="106"/>
    </row>
    <row r="39" spans="2:2" x14ac:dyDescent="0.45">
      <c r="B39" s="105" t="s">
        <v>153</v>
      </c>
    </row>
    <row r="40" spans="2:2" x14ac:dyDescent="0.45">
      <c r="B40" s="104" t="s">
        <v>154</v>
      </c>
    </row>
    <row r="41" spans="2:2" x14ac:dyDescent="0.45">
      <c r="B41" s="103" t="s">
        <v>178</v>
      </c>
    </row>
    <row r="42" spans="2:2" x14ac:dyDescent="0.45">
      <c r="B42" s="103" t="s">
        <v>179</v>
      </c>
    </row>
    <row r="43" spans="2:2" x14ac:dyDescent="0.45">
      <c r="B43" s="103" t="s">
        <v>180</v>
      </c>
    </row>
    <row r="44" spans="2:2" x14ac:dyDescent="0.45">
      <c r="B44" s="103" t="s">
        <v>181</v>
      </c>
    </row>
    <row r="45" spans="2:2" x14ac:dyDescent="0.45">
      <c r="B45" s="104" t="s">
        <v>155</v>
      </c>
    </row>
    <row r="46" spans="2:2" x14ac:dyDescent="0.45">
      <c r="B46" s="104"/>
    </row>
    <row r="47" spans="2:2" x14ac:dyDescent="0.45">
      <c r="B47" s="105" t="s">
        <v>156</v>
      </c>
    </row>
    <row r="48" spans="2:2" x14ac:dyDescent="0.45">
      <c r="B48" s="104" t="s">
        <v>157</v>
      </c>
    </row>
    <row r="49" spans="2:2" ht="33" x14ac:dyDescent="0.45">
      <c r="B49" s="109" t="s">
        <v>200</v>
      </c>
    </row>
    <row r="50" spans="2:2" x14ac:dyDescent="0.45">
      <c r="B50" s="103" t="s">
        <v>194</v>
      </c>
    </row>
    <row r="51" spans="2:2" x14ac:dyDescent="0.45">
      <c r="B51" s="106"/>
    </row>
    <row r="52" spans="2:2" x14ac:dyDescent="0.45">
      <c r="B52" s="105" t="s">
        <v>164</v>
      </c>
    </row>
    <row r="53" spans="2:2" x14ac:dyDescent="0.45">
      <c r="B53" s="104" t="s">
        <v>145</v>
      </c>
    </row>
    <row r="54" spans="2:2" x14ac:dyDescent="0.45">
      <c r="B54" s="103" t="s">
        <v>166</v>
      </c>
    </row>
    <row r="55" spans="2:2" x14ac:dyDescent="0.45">
      <c r="B55" s="103" t="s">
        <v>201</v>
      </c>
    </row>
    <row r="56" spans="2:2" x14ac:dyDescent="0.45">
      <c r="B56" s="103" t="s">
        <v>202</v>
      </c>
    </row>
    <row r="57" spans="2:2" x14ac:dyDescent="0.45">
      <c r="B57" s="103" t="s">
        <v>203</v>
      </c>
    </row>
    <row r="58" spans="2:2" x14ac:dyDescent="0.45">
      <c r="B58" s="103" t="s">
        <v>165</v>
      </c>
    </row>
    <row r="59" spans="2:2" x14ac:dyDescent="0.45">
      <c r="B59" s="106"/>
    </row>
    <row r="60" spans="2:2" x14ac:dyDescent="0.45">
      <c r="B60" s="105" t="s">
        <v>167</v>
      </c>
    </row>
    <row r="61" spans="2:2" x14ac:dyDescent="0.45">
      <c r="B61" s="104" t="s">
        <v>154</v>
      </c>
    </row>
    <row r="62" spans="2:2" x14ac:dyDescent="0.45">
      <c r="B62" s="103" t="s">
        <v>165</v>
      </c>
    </row>
    <row r="63" spans="2:2" x14ac:dyDescent="0.45">
      <c r="B63" s="103" t="s">
        <v>189</v>
      </c>
    </row>
    <row r="64" spans="2:2" x14ac:dyDescent="0.45">
      <c r="B64" s="103" t="s">
        <v>190</v>
      </c>
    </row>
    <row r="65" spans="2:2" x14ac:dyDescent="0.45">
      <c r="B65" s="103" t="s">
        <v>191</v>
      </c>
    </row>
    <row r="66" spans="2:2" x14ac:dyDescent="0.45">
      <c r="B66" s="103" t="s">
        <v>192</v>
      </c>
    </row>
    <row r="67" spans="2:2" x14ac:dyDescent="0.45">
      <c r="B67" s="103"/>
    </row>
    <row r="68" spans="2:2" x14ac:dyDescent="0.45">
      <c r="B68" s="102" t="s">
        <v>158</v>
      </c>
    </row>
    <row r="69" spans="2:2" x14ac:dyDescent="0.45">
      <c r="B69" s="103" t="s">
        <v>182</v>
      </c>
    </row>
    <row r="70" spans="2:2" x14ac:dyDescent="0.45">
      <c r="B70" s="103" t="s">
        <v>183</v>
      </c>
    </row>
    <row r="71" spans="2:2" x14ac:dyDescent="0.45">
      <c r="B71" s="103" t="s">
        <v>184</v>
      </c>
    </row>
    <row r="72" spans="2:2" x14ac:dyDescent="0.45">
      <c r="B72" s="103" t="s">
        <v>185</v>
      </c>
    </row>
    <row r="73" spans="2:2" x14ac:dyDescent="0.45">
      <c r="B73" s="102" t="s">
        <v>159</v>
      </c>
    </row>
    <row r="74" spans="2:2" x14ac:dyDescent="0.45">
      <c r="B74" s="103" t="s">
        <v>186</v>
      </c>
    </row>
    <row r="75" spans="2:2" x14ac:dyDescent="0.45">
      <c r="B75" s="103" t="s">
        <v>187</v>
      </c>
    </row>
    <row r="76" spans="2:2" x14ac:dyDescent="0.45">
      <c r="B76" s="103" t="s">
        <v>188</v>
      </c>
    </row>
    <row r="77" spans="2:2" x14ac:dyDescent="0.45">
      <c r="B77" s="102" t="s">
        <v>160</v>
      </c>
    </row>
    <row r="78" spans="2:2" x14ac:dyDescent="0.45">
      <c r="B78" s="104" t="s">
        <v>163</v>
      </c>
    </row>
    <row r="79" spans="2:2" ht="17" thickBot="1" x14ac:dyDescent="0.5">
      <c r="B79" s="107"/>
    </row>
  </sheetData>
  <sheetProtection sheet="1" objects="1" scenario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CE74-362B-42F2-91EC-6BD9C4A067C6}">
  <sheetPr>
    <pageSetUpPr fitToPage="1"/>
  </sheetPr>
  <dimension ref="A2:EM98"/>
  <sheetViews>
    <sheetView showGridLines="0" tabSelected="1" topLeftCell="A2" zoomScale="57" zoomScaleNormal="57" workbookViewId="0">
      <selection activeCell="B6" sqref="B6:O9"/>
    </sheetView>
  </sheetViews>
  <sheetFormatPr defaultColWidth="2.81640625" defaultRowHeight="21.5" outlineLevelRow="1" x14ac:dyDescent="0.35"/>
  <cols>
    <col min="1" max="1" width="3.7265625" style="54" customWidth="1"/>
    <col min="2" max="2" width="2.453125" style="54" customWidth="1"/>
    <col min="3" max="3" width="6.1796875" style="54" customWidth="1"/>
    <col min="4" max="4" width="71.1796875" style="54" customWidth="1"/>
    <col min="5" max="5" width="13.54296875" style="54" customWidth="1"/>
    <col min="6" max="6" width="17.54296875" style="54" customWidth="1"/>
    <col min="7" max="9" width="16" style="54" customWidth="1"/>
    <col min="10" max="10" width="19.1796875" style="54" customWidth="1"/>
    <col min="11" max="12" width="24.81640625" style="54" customWidth="1"/>
    <col min="13" max="13" width="16.81640625" style="54" customWidth="1"/>
    <col min="14" max="14" width="29.1796875" style="54" customWidth="1"/>
    <col min="15" max="15" width="3.54296875" style="54" customWidth="1"/>
    <col min="16" max="16" width="5" style="54" customWidth="1"/>
    <col min="17" max="19" width="2.81640625" style="54"/>
    <col min="20" max="20" width="8.1796875" style="54" bestFit="1" customWidth="1"/>
    <col min="21" max="28" width="2.81640625" style="54"/>
    <col min="29" max="29" width="33.81640625" style="54" customWidth="1"/>
    <col min="30" max="30" width="2.81640625" style="54"/>
    <col min="31" max="31" width="3.81640625" style="54" bestFit="1" customWidth="1"/>
    <col min="32" max="43" width="2.81640625" style="54"/>
    <col min="44" max="44" width="3.81640625" style="54" bestFit="1" customWidth="1"/>
    <col min="45" max="55" width="2.81640625" style="54"/>
    <col min="56" max="56" width="10.81640625" style="54" bestFit="1" customWidth="1"/>
    <col min="57" max="57" width="14.81640625" style="54" customWidth="1"/>
    <col min="58" max="58" width="5.54296875" style="54" customWidth="1"/>
    <col min="59" max="85" width="2.81640625" style="54"/>
    <col min="86" max="86" width="4.1796875" style="54" bestFit="1" customWidth="1"/>
    <col min="87" max="107" width="2.81640625" style="54"/>
    <col min="108" max="108" width="11.54296875" style="54" bestFit="1" customWidth="1"/>
    <col min="109" max="109" width="13.81640625" style="54" bestFit="1" customWidth="1"/>
    <col min="110" max="110" width="5.1796875" style="54" bestFit="1" customWidth="1"/>
    <col min="111" max="165" width="2.81640625" style="54"/>
    <col min="166" max="166" width="29.1796875" style="54" bestFit="1" customWidth="1"/>
    <col min="167" max="188" width="2.81640625" style="54"/>
    <col min="189" max="189" width="4.1796875" style="54" bestFit="1" customWidth="1"/>
    <col min="190" max="195" width="2.81640625" style="54"/>
    <col min="196" max="230" width="2.81640625" style="54" customWidth="1"/>
    <col min="231" max="231" width="3.1796875" style="54" customWidth="1"/>
    <col min="232" max="232" width="3.54296875" style="54" customWidth="1"/>
    <col min="233" max="233" width="4.81640625" style="54" customWidth="1"/>
    <col min="234" max="234" width="3.81640625" style="54" customWidth="1"/>
    <col min="235" max="235" width="6.54296875" style="54" customWidth="1"/>
    <col min="236" max="236" width="6.1796875" style="54" customWidth="1"/>
    <col min="237" max="237" width="5" style="54" customWidth="1"/>
    <col min="238" max="238" width="7.1796875" style="54" customWidth="1"/>
    <col min="239" max="239" width="6.54296875" style="54" customWidth="1"/>
    <col min="240" max="246" width="2.81640625" style="54"/>
    <col min="247" max="247" width="3.81640625" style="54" bestFit="1" customWidth="1"/>
    <col min="248" max="250" width="2.81640625" style="54"/>
    <col min="251" max="251" width="3.1796875" style="54" bestFit="1" customWidth="1"/>
    <col min="252" max="252" width="3.81640625" style="54" bestFit="1" customWidth="1"/>
    <col min="253" max="16384" width="2.81640625" style="54"/>
  </cols>
  <sheetData>
    <row r="2" spans="2:143" s="27" customFormat="1" ht="53.15" customHeight="1" x14ac:dyDescent="0.35">
      <c r="B2" s="169" t="s">
        <v>102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</row>
    <row r="3" spans="2:143" s="27" customFormat="1" ht="34.5" customHeight="1" x14ac:dyDescent="0.35">
      <c r="B3" s="170">
        <v>2026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EM3" s="27" t="s">
        <v>0</v>
      </c>
    </row>
    <row r="4" spans="2:143" s="27" customFormat="1" ht="10" customHeight="1" x14ac:dyDescent="0.35">
      <c r="AR4" s="29"/>
    </row>
    <row r="5" spans="2:143" s="27" customFormat="1" ht="33" customHeight="1" x14ac:dyDescent="0.35">
      <c r="B5" s="178" t="s">
        <v>91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80"/>
      <c r="P5" s="28"/>
    </row>
    <row r="6" spans="2:143" s="27" customFormat="1" ht="30.65" customHeight="1" x14ac:dyDescent="0.35">
      <c r="B6" s="160" t="s">
        <v>122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2"/>
    </row>
    <row r="7" spans="2:143" s="27" customFormat="1" ht="30.65" customHeight="1" x14ac:dyDescent="0.35">
      <c r="B7" s="163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5"/>
    </row>
    <row r="8" spans="2:143" s="27" customFormat="1" ht="30.65" customHeight="1" x14ac:dyDescent="0.35">
      <c r="B8" s="163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5"/>
      <c r="P8" s="28"/>
    </row>
    <row r="9" spans="2:143" s="27" customFormat="1" ht="30.65" customHeight="1" x14ac:dyDescent="0.35">
      <c r="B9" s="166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8"/>
    </row>
    <row r="10" spans="2:143" s="27" customFormat="1" x14ac:dyDescent="0.35">
      <c r="B10" s="30"/>
      <c r="C10" s="30"/>
      <c r="D10" s="30"/>
      <c r="E10" s="30"/>
      <c r="F10" s="30"/>
      <c r="G10" s="30"/>
      <c r="H10" s="30"/>
      <c r="I10" s="31"/>
      <c r="J10" s="31"/>
      <c r="K10" s="31"/>
      <c r="L10" s="31"/>
      <c r="M10" s="31"/>
      <c r="N10" s="31"/>
      <c r="O10" s="31"/>
    </row>
    <row r="11" spans="2:143" s="27" customFormat="1" ht="33" customHeight="1" x14ac:dyDescent="0.35">
      <c r="B11" s="171" t="s">
        <v>136</v>
      </c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3"/>
      <c r="P11" s="28"/>
    </row>
    <row r="12" spans="2:143" s="27" customFormat="1" ht="9.65" customHeight="1" x14ac:dyDescent="0.35">
      <c r="B12" s="32"/>
      <c r="C12" s="28"/>
      <c r="O12" s="33"/>
    </row>
    <row r="13" spans="2:143" s="27" customFormat="1" ht="27" customHeight="1" x14ac:dyDescent="0.35">
      <c r="B13" s="32"/>
      <c r="C13" s="181" t="s">
        <v>1</v>
      </c>
      <c r="D13" s="182"/>
      <c r="F13" s="174" t="s">
        <v>2</v>
      </c>
      <c r="G13" s="175"/>
      <c r="H13" s="34"/>
      <c r="I13" s="174" t="s">
        <v>3</v>
      </c>
      <c r="J13" s="175"/>
      <c r="L13" s="90" t="s">
        <v>4</v>
      </c>
      <c r="N13" s="90" t="s">
        <v>5</v>
      </c>
      <c r="O13" s="33"/>
    </row>
    <row r="14" spans="2:143" s="27" customFormat="1" x14ac:dyDescent="0.35">
      <c r="B14" s="32"/>
      <c r="C14" s="183"/>
      <c r="D14" s="184"/>
      <c r="F14" s="156"/>
      <c r="G14" s="157"/>
      <c r="I14" s="176"/>
      <c r="J14" s="177"/>
      <c r="L14" s="91"/>
      <c r="N14" s="92"/>
      <c r="O14" s="33"/>
    </row>
    <row r="15" spans="2:143" s="27" customFormat="1" ht="20.25" customHeight="1" x14ac:dyDescent="0.35">
      <c r="B15" s="32"/>
      <c r="C15" s="28"/>
      <c r="O15" s="33"/>
    </row>
    <row r="16" spans="2:143" s="27" customFormat="1" ht="27" customHeight="1" x14ac:dyDescent="0.35">
      <c r="B16" s="32"/>
      <c r="C16" s="181" t="s">
        <v>6</v>
      </c>
      <c r="D16" s="182"/>
      <c r="F16" s="174" t="s">
        <v>7</v>
      </c>
      <c r="G16" s="175"/>
      <c r="H16" s="34"/>
      <c r="I16" s="174" t="s">
        <v>8</v>
      </c>
      <c r="J16" s="175"/>
      <c r="L16" s="90" t="s">
        <v>9</v>
      </c>
      <c r="N16" s="90" t="s">
        <v>10</v>
      </c>
      <c r="O16" s="33"/>
    </row>
    <row r="17" spans="2:44" s="27" customFormat="1" x14ac:dyDescent="0.35">
      <c r="B17" s="32"/>
      <c r="C17" s="183"/>
      <c r="D17" s="184"/>
      <c r="F17" s="156"/>
      <c r="G17" s="157"/>
      <c r="I17" s="158"/>
      <c r="J17" s="159"/>
      <c r="L17" s="91"/>
      <c r="N17" s="93"/>
      <c r="O17" s="33"/>
    </row>
    <row r="18" spans="2:44" s="27" customFormat="1" ht="10" customHeight="1" x14ac:dyDescent="0.35"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28"/>
      <c r="AR18" s="29"/>
    </row>
    <row r="19" spans="2:44" s="27" customFormat="1" x14ac:dyDescent="0.35">
      <c r="AR19" s="29"/>
    </row>
    <row r="20" spans="2:44" s="27" customFormat="1" ht="33" customHeight="1" x14ac:dyDescent="0.35">
      <c r="B20" s="171" t="s">
        <v>137</v>
      </c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3"/>
      <c r="P20" s="28"/>
    </row>
    <row r="21" spans="2:44" s="27" customFormat="1" ht="4.9000000000000004" customHeight="1" outlineLevel="1" x14ac:dyDescent="0.35">
      <c r="B21" s="3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39"/>
      <c r="P21" s="28"/>
    </row>
    <row r="22" spans="2:44" s="27" customFormat="1" outlineLevel="1" x14ac:dyDescent="0.35">
      <c r="B22" s="38"/>
      <c r="C22" s="123" t="s">
        <v>135</v>
      </c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39"/>
      <c r="P22" s="28"/>
    </row>
    <row r="23" spans="2:44" s="27" customFormat="1" ht="9.65" customHeight="1" outlineLevel="1" x14ac:dyDescent="0.35">
      <c r="B23" s="32"/>
      <c r="C23" s="28"/>
      <c r="O23" s="33"/>
    </row>
    <row r="24" spans="2:44" s="27" customFormat="1" ht="33" customHeight="1" outlineLevel="1" x14ac:dyDescent="0.35">
      <c r="B24" s="40"/>
      <c r="C24" s="41"/>
      <c r="D24" s="143" t="s">
        <v>88</v>
      </c>
      <c r="E24" s="144"/>
      <c r="F24" s="144"/>
      <c r="G24" s="154" t="s">
        <v>89</v>
      </c>
      <c r="H24" s="154"/>
      <c r="I24" s="154"/>
      <c r="J24" s="154"/>
      <c r="K24" s="154"/>
      <c r="L24" s="154" t="s">
        <v>134</v>
      </c>
      <c r="M24" s="154"/>
      <c r="N24" s="155"/>
      <c r="O24" s="42"/>
      <c r="P24" s="28"/>
    </row>
    <row r="25" spans="2:44" s="27" customFormat="1" ht="121.9" customHeight="1" outlineLevel="1" x14ac:dyDescent="0.35">
      <c r="B25" s="40"/>
      <c r="C25" s="43" t="s">
        <v>92</v>
      </c>
      <c r="D25" s="145"/>
      <c r="E25" s="146"/>
      <c r="F25" s="147"/>
      <c r="G25" s="148"/>
      <c r="H25" s="149"/>
      <c r="I25" s="149"/>
      <c r="J25" s="149"/>
      <c r="K25" s="150"/>
      <c r="L25" s="151"/>
      <c r="M25" s="152"/>
      <c r="N25" s="153"/>
      <c r="O25" s="42"/>
    </row>
    <row r="26" spans="2:44" s="27" customFormat="1" ht="121.9" customHeight="1" outlineLevel="1" x14ac:dyDescent="0.35">
      <c r="B26" s="40"/>
      <c r="C26" s="43" t="s">
        <v>93</v>
      </c>
      <c r="D26" s="145"/>
      <c r="E26" s="146"/>
      <c r="F26" s="147"/>
      <c r="G26" s="148"/>
      <c r="H26" s="149"/>
      <c r="I26" s="149"/>
      <c r="J26" s="149"/>
      <c r="K26" s="150"/>
      <c r="L26" s="151"/>
      <c r="M26" s="152"/>
      <c r="N26" s="153"/>
      <c r="O26" s="42"/>
    </row>
    <row r="27" spans="2:44" s="27" customFormat="1" ht="9" customHeight="1" outlineLevel="1" x14ac:dyDescent="0.35">
      <c r="B27" s="44"/>
      <c r="C27" s="45"/>
      <c r="D27" s="46"/>
      <c r="E27" s="46"/>
      <c r="F27" s="46"/>
      <c r="G27" s="47"/>
      <c r="H27" s="47"/>
      <c r="I27" s="47"/>
      <c r="J27" s="47"/>
      <c r="K27" s="47"/>
      <c r="L27" s="3"/>
      <c r="M27" s="3"/>
      <c r="N27" s="3"/>
      <c r="O27" s="37"/>
    </row>
    <row r="28" spans="2:44" s="27" customFormat="1" x14ac:dyDescent="0.35">
      <c r="AR28" s="29"/>
    </row>
    <row r="29" spans="2:44" s="27" customFormat="1" ht="33" customHeight="1" x14ac:dyDescent="0.35">
      <c r="B29" s="171" t="s">
        <v>138</v>
      </c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3"/>
      <c r="P29" s="28"/>
    </row>
    <row r="30" spans="2:44" s="27" customFormat="1" ht="4.9000000000000004" customHeight="1" outlineLevel="1" x14ac:dyDescent="0.35">
      <c r="B30" s="3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39"/>
      <c r="P30" s="28"/>
    </row>
    <row r="31" spans="2:44" s="27" customFormat="1" outlineLevel="1" x14ac:dyDescent="0.35">
      <c r="B31" s="38"/>
      <c r="C31" s="123" t="s">
        <v>101</v>
      </c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39"/>
      <c r="P31" s="28"/>
    </row>
    <row r="32" spans="2:44" s="27" customFormat="1" ht="14.5" customHeight="1" outlineLevel="1" x14ac:dyDescent="0.35">
      <c r="B32" s="32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48"/>
    </row>
    <row r="33" spans="2:16" s="27" customFormat="1" ht="33" customHeight="1" outlineLevel="1" x14ac:dyDescent="0.35">
      <c r="B33" s="49"/>
      <c r="C33" s="185" t="s">
        <v>94</v>
      </c>
      <c r="D33" s="185"/>
      <c r="E33" s="185" t="s">
        <v>74</v>
      </c>
      <c r="F33" s="185"/>
      <c r="G33" s="185" t="s">
        <v>95</v>
      </c>
      <c r="H33" s="185"/>
      <c r="I33" s="185"/>
      <c r="J33" s="185"/>
      <c r="K33" s="185"/>
      <c r="L33" s="185"/>
      <c r="M33" s="185"/>
      <c r="N33" s="97" t="s">
        <v>77</v>
      </c>
      <c r="O33" s="42"/>
      <c r="P33" s="28"/>
    </row>
    <row r="34" spans="2:16" s="55" customFormat="1" ht="42.65" customHeight="1" outlineLevel="1" x14ac:dyDescent="0.35">
      <c r="B34" s="50"/>
      <c r="C34" s="94" t="s">
        <v>39</v>
      </c>
      <c r="D34" s="95"/>
      <c r="E34" s="186" t="s">
        <v>75</v>
      </c>
      <c r="F34" s="186"/>
      <c r="G34" s="208" t="str">
        <f>IFERROR(VLOOKUP($F$17&amp;$C34,MATRIZ!$A:$E,5,0),"Preencher o campo 'Nível Hierárquico'")</f>
        <v>Preencher o campo 'Nível Hierárquico'</v>
      </c>
      <c r="H34" s="209"/>
      <c r="I34" s="209"/>
      <c r="J34" s="209"/>
      <c r="K34" s="209"/>
      <c r="L34" s="209"/>
      <c r="M34" s="210"/>
      <c r="N34" s="96"/>
      <c r="O34" s="53"/>
      <c r="P34" s="54"/>
    </row>
    <row r="35" spans="2:16" s="55" customFormat="1" ht="42.65" customHeight="1" outlineLevel="1" x14ac:dyDescent="0.35">
      <c r="B35" s="50"/>
      <c r="C35" s="51" t="s">
        <v>99</v>
      </c>
      <c r="D35" s="52"/>
      <c r="E35" s="187" t="s">
        <v>81</v>
      </c>
      <c r="F35" s="187"/>
      <c r="G35" s="211" t="str">
        <f>IFERROR(VLOOKUP($F$17&amp;$C35,MATRIZ!$A:$E,5,0),"Preencher o campo 'Nível Hierárquico'")</f>
        <v>Preencher o campo 'Nível Hierárquico'</v>
      </c>
      <c r="H35" s="212"/>
      <c r="I35" s="212"/>
      <c r="J35" s="212"/>
      <c r="K35" s="212"/>
      <c r="L35" s="212"/>
      <c r="M35" s="213"/>
      <c r="N35" s="78"/>
      <c r="O35" s="53"/>
      <c r="P35" s="54"/>
    </row>
    <row r="36" spans="2:16" s="55" customFormat="1" ht="42.65" customHeight="1" outlineLevel="1" x14ac:dyDescent="0.35">
      <c r="B36" s="50"/>
      <c r="C36" s="51" t="s">
        <v>78</v>
      </c>
      <c r="D36" s="52"/>
      <c r="E36" s="187" t="s">
        <v>82</v>
      </c>
      <c r="F36" s="187"/>
      <c r="G36" s="211" t="str">
        <f>IFERROR(VLOOKUP($F$17&amp;$C36,MATRIZ!$A:$E,5,0),"Preencher o campo 'Nível Hierárquico'")</f>
        <v>Preencher o campo 'Nível Hierárquico'</v>
      </c>
      <c r="H36" s="212"/>
      <c r="I36" s="212"/>
      <c r="J36" s="212"/>
      <c r="K36" s="212"/>
      <c r="L36" s="212"/>
      <c r="M36" s="213"/>
      <c r="N36" s="78"/>
      <c r="O36" s="53"/>
      <c r="P36" s="54"/>
    </row>
    <row r="37" spans="2:16" s="55" customFormat="1" ht="42.65" customHeight="1" outlineLevel="1" x14ac:dyDescent="0.35">
      <c r="B37" s="50"/>
      <c r="C37" s="51" t="s">
        <v>79</v>
      </c>
      <c r="D37" s="52"/>
      <c r="E37" s="187" t="s">
        <v>83</v>
      </c>
      <c r="F37" s="187"/>
      <c r="G37" s="211" t="str">
        <f>IFERROR(VLOOKUP($F$17&amp;$C37,MATRIZ!$A:$E,5,0),"Preencher o campo 'Nível Hierárquico'")</f>
        <v>Preencher o campo 'Nível Hierárquico'</v>
      </c>
      <c r="H37" s="212"/>
      <c r="I37" s="212"/>
      <c r="J37" s="212"/>
      <c r="K37" s="212"/>
      <c r="L37" s="212"/>
      <c r="M37" s="213"/>
      <c r="N37" s="78"/>
      <c r="O37" s="53"/>
      <c r="P37" s="54"/>
    </row>
    <row r="38" spans="2:16" s="55" customFormat="1" ht="42.65" customHeight="1" outlineLevel="1" x14ac:dyDescent="0.35">
      <c r="B38" s="50"/>
      <c r="C38" s="51" t="s">
        <v>80</v>
      </c>
      <c r="D38" s="52"/>
      <c r="E38" s="187" t="s">
        <v>84</v>
      </c>
      <c r="F38" s="187"/>
      <c r="G38" s="211" t="str">
        <f>IFERROR(VLOOKUP($F$17&amp;$C38,MATRIZ!$A:$E,5,0),"Preencher o campo 'Nível Hierárquico'")</f>
        <v>Preencher o campo 'Nível Hierárquico'</v>
      </c>
      <c r="H38" s="212"/>
      <c r="I38" s="212"/>
      <c r="J38" s="212"/>
      <c r="K38" s="212"/>
      <c r="L38" s="212"/>
      <c r="M38" s="213"/>
      <c r="N38" s="78"/>
      <c r="O38" s="53"/>
      <c r="P38" s="54"/>
    </row>
    <row r="39" spans="2:16" s="55" customFormat="1" ht="6.65" customHeight="1" outlineLevel="1" x14ac:dyDescent="0.35">
      <c r="B39" s="56"/>
      <c r="C39" s="57"/>
      <c r="D39" s="57"/>
      <c r="E39" s="58"/>
      <c r="F39" s="58"/>
      <c r="G39" s="59"/>
      <c r="H39" s="59"/>
      <c r="I39" s="59"/>
      <c r="J39" s="59"/>
      <c r="K39" s="59"/>
      <c r="L39" s="59"/>
      <c r="M39" s="59"/>
      <c r="N39" s="60"/>
      <c r="O39" s="61"/>
      <c r="P39" s="54"/>
    </row>
    <row r="40" spans="2:16" s="55" customFormat="1" x14ac:dyDescent="0.35"/>
    <row r="41" spans="2:16" s="27" customFormat="1" ht="33" customHeight="1" x14ac:dyDescent="0.35">
      <c r="B41" s="129" t="str">
        <f>+"4. OBJETIVOS e KPIs "&amp;B3&amp;" : DEFINIÇÃO &amp; RESULTADOS"</f>
        <v>4. OBJETIVOS e KPIs 2026 : DEFINIÇÃO &amp; RESULTADOS</v>
      </c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1"/>
      <c r="P41" s="28"/>
    </row>
    <row r="42" spans="2:16" s="27" customFormat="1" ht="4.9000000000000004" customHeight="1" outlineLevel="1" x14ac:dyDescent="0.35">
      <c r="B42" s="3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39"/>
      <c r="P42" s="28"/>
    </row>
    <row r="43" spans="2:16" s="27" customFormat="1" outlineLevel="1" x14ac:dyDescent="0.35">
      <c r="B43" s="38"/>
      <c r="C43" s="128" t="s">
        <v>204</v>
      </c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39"/>
      <c r="P43" s="28"/>
    </row>
    <row r="44" spans="2:16" s="27" customFormat="1" ht="15" customHeight="1" outlineLevel="1" x14ac:dyDescent="0.35">
      <c r="B44" s="3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39"/>
      <c r="P44" s="28"/>
    </row>
    <row r="45" spans="2:16" s="27" customFormat="1" ht="18.75" customHeight="1" outlineLevel="1" x14ac:dyDescent="0.35">
      <c r="B45" s="62"/>
      <c r="C45" s="132" t="s">
        <v>96</v>
      </c>
      <c r="D45" s="133"/>
      <c r="E45" s="141" t="s">
        <v>11</v>
      </c>
      <c r="F45" s="141" t="s">
        <v>12</v>
      </c>
      <c r="G45" s="119" t="s">
        <v>13</v>
      </c>
      <c r="H45" s="120"/>
      <c r="I45" s="121"/>
      <c r="J45" s="111" t="s">
        <v>14</v>
      </c>
      <c r="K45" s="111" t="s">
        <v>124</v>
      </c>
      <c r="L45" s="111" t="s">
        <v>123</v>
      </c>
      <c r="M45" s="111" t="s">
        <v>17</v>
      </c>
      <c r="N45" s="111" t="s">
        <v>18</v>
      </c>
      <c r="O45" s="42"/>
    </row>
    <row r="46" spans="2:16" s="27" customFormat="1" ht="18.75" customHeight="1" outlineLevel="1" x14ac:dyDescent="0.35">
      <c r="B46" s="62"/>
      <c r="C46" s="134"/>
      <c r="D46" s="135"/>
      <c r="E46" s="142"/>
      <c r="F46" s="142"/>
      <c r="G46" s="19" t="s">
        <v>19</v>
      </c>
      <c r="H46" s="19" t="s">
        <v>20</v>
      </c>
      <c r="I46" s="19" t="s">
        <v>21</v>
      </c>
      <c r="J46" s="122"/>
      <c r="K46" s="122"/>
      <c r="L46" s="122"/>
      <c r="M46" s="122"/>
      <c r="N46" s="112"/>
      <c r="O46" s="42"/>
    </row>
    <row r="47" spans="2:16" s="27" customFormat="1" ht="25.15" customHeight="1" outlineLevel="1" x14ac:dyDescent="0.35">
      <c r="B47" s="62"/>
      <c r="C47" s="136" t="s">
        <v>22</v>
      </c>
      <c r="D47" s="7"/>
      <c r="E47" s="8"/>
      <c r="F47" s="9"/>
      <c r="G47" s="10"/>
      <c r="H47" s="10"/>
      <c r="I47" s="10"/>
      <c r="J47" s="13"/>
      <c r="K47" s="14">
        <f>IFERROR(J47/H47,0)</f>
        <v>0</v>
      </c>
      <c r="L47" s="15">
        <f>IFERROR(IF(J47&lt;G47,0,IF(J47&lt;=H47,((20%*(J47-G47))/(H47-G47))+80%,IF(J47&gt;I47,1.2,((20%*(J47-H47))/(I47-H47))+100%))),0)</f>
        <v>0</v>
      </c>
      <c r="M47" s="15">
        <f>+L47*F47</f>
        <v>0</v>
      </c>
      <c r="N47" s="124"/>
      <c r="O47" s="42"/>
    </row>
    <row r="48" spans="2:16" s="27" customFormat="1" ht="25.15" customHeight="1" outlineLevel="1" x14ac:dyDescent="0.35">
      <c r="B48" s="62"/>
      <c r="C48" s="137"/>
      <c r="D48" s="7"/>
      <c r="E48" s="8"/>
      <c r="F48" s="9"/>
      <c r="G48" s="8"/>
      <c r="H48" s="8"/>
      <c r="I48" s="8"/>
      <c r="J48" s="13"/>
      <c r="K48" s="14">
        <f t="shared" ref="K48:K54" si="0">IFERROR(J48/H48,0)</f>
        <v>0</v>
      </c>
      <c r="L48" s="15">
        <f t="shared" ref="L48:L54" si="1">IFERROR(IF(J48&lt;G48,0,IF(J48&lt;=H48,((20%*(J48-G48))/(H48-G48))+80%,IF(J48&gt;I48,1.2,((20%*(J48-H48))/(I48-H48))+100%))),0)</f>
        <v>0</v>
      </c>
      <c r="M48" s="15">
        <f t="shared" ref="M48:M54" si="2">+L48*F48</f>
        <v>0</v>
      </c>
      <c r="N48" s="124"/>
      <c r="O48" s="42"/>
    </row>
    <row r="49" spans="1:44" s="27" customFormat="1" ht="25.15" customHeight="1" outlineLevel="1" x14ac:dyDescent="0.35">
      <c r="B49" s="62"/>
      <c r="C49" s="137"/>
      <c r="D49" s="7"/>
      <c r="E49" s="8"/>
      <c r="F49" s="9"/>
      <c r="G49" s="8"/>
      <c r="H49" s="8"/>
      <c r="I49" s="8"/>
      <c r="J49" s="13"/>
      <c r="K49" s="14">
        <f t="shared" si="0"/>
        <v>0</v>
      </c>
      <c r="L49" s="15">
        <f>IFERROR(IF(J49&lt;G49,0,IF(J49&lt;=H49,((20%*(J49-G49))/(H49-G49))+80%,IF(J49&gt;I49,1.2,((20%*(J49-H49))/(I49-H49))+100%))),0)</f>
        <v>0</v>
      </c>
      <c r="M49" s="15">
        <f t="shared" si="2"/>
        <v>0</v>
      </c>
      <c r="N49" s="124"/>
      <c r="O49" s="42"/>
    </row>
    <row r="50" spans="1:44" s="27" customFormat="1" ht="25.15" customHeight="1" outlineLevel="1" x14ac:dyDescent="0.35">
      <c r="B50" s="62"/>
      <c r="C50" s="138"/>
      <c r="D50" s="7"/>
      <c r="E50" s="8"/>
      <c r="F50" s="9"/>
      <c r="G50" s="10"/>
      <c r="H50" s="10"/>
      <c r="I50" s="10"/>
      <c r="J50" s="13"/>
      <c r="K50" s="14">
        <f t="shared" si="0"/>
        <v>0</v>
      </c>
      <c r="L50" s="15">
        <f>IFERROR(IF(J50&lt;G50,0,IF(J50&lt;=H50,((20%*(J50-G50))/(H50-G50))+80%,IF(J50&gt;I50,1.2,((20%*(J50-H50))/(I50-H50))+100%))),0)</f>
        <v>0</v>
      </c>
      <c r="M50" s="15">
        <f t="shared" si="2"/>
        <v>0</v>
      </c>
      <c r="N50" s="124"/>
      <c r="O50" s="42"/>
    </row>
    <row r="51" spans="1:44" s="27" customFormat="1" ht="25.15" customHeight="1" outlineLevel="1" x14ac:dyDescent="0.35">
      <c r="B51" s="62"/>
      <c r="C51" s="136" t="s">
        <v>24</v>
      </c>
      <c r="D51" s="7"/>
      <c r="E51" s="8"/>
      <c r="F51" s="9"/>
      <c r="G51" s="10"/>
      <c r="H51" s="10"/>
      <c r="I51" s="10"/>
      <c r="J51" s="10"/>
      <c r="K51" s="14">
        <f t="shared" si="0"/>
        <v>0</v>
      </c>
      <c r="L51" s="15">
        <f t="shared" si="1"/>
        <v>0</v>
      </c>
      <c r="M51" s="15">
        <f t="shared" si="2"/>
        <v>0</v>
      </c>
      <c r="N51" s="124"/>
      <c r="O51" s="42"/>
    </row>
    <row r="52" spans="1:44" s="27" customFormat="1" ht="25.15" customHeight="1" outlineLevel="1" x14ac:dyDescent="0.35">
      <c r="B52" s="62"/>
      <c r="C52" s="137"/>
      <c r="D52" s="7"/>
      <c r="E52" s="8"/>
      <c r="F52" s="9"/>
      <c r="G52" s="10"/>
      <c r="H52" s="10"/>
      <c r="I52" s="10"/>
      <c r="J52" s="13"/>
      <c r="K52" s="14">
        <f t="shared" si="0"/>
        <v>0</v>
      </c>
      <c r="L52" s="15">
        <f t="shared" si="1"/>
        <v>0</v>
      </c>
      <c r="M52" s="15">
        <f t="shared" si="2"/>
        <v>0</v>
      </c>
      <c r="N52" s="124"/>
      <c r="O52" s="42"/>
    </row>
    <row r="53" spans="1:44" s="27" customFormat="1" ht="25.15" customHeight="1" outlineLevel="1" x14ac:dyDescent="0.35">
      <c r="B53" s="62"/>
      <c r="C53" s="137"/>
      <c r="D53" s="7"/>
      <c r="E53" s="11"/>
      <c r="F53" s="9"/>
      <c r="G53" s="10"/>
      <c r="H53" s="10"/>
      <c r="I53" s="10"/>
      <c r="J53" s="13"/>
      <c r="K53" s="14">
        <f t="shared" si="0"/>
        <v>0</v>
      </c>
      <c r="L53" s="15">
        <f t="shared" si="1"/>
        <v>0</v>
      </c>
      <c r="M53" s="15">
        <f t="shared" si="2"/>
        <v>0</v>
      </c>
      <c r="N53" s="124"/>
      <c r="O53" s="42"/>
    </row>
    <row r="54" spans="1:44" s="27" customFormat="1" ht="25.15" customHeight="1" outlineLevel="1" x14ac:dyDescent="0.35">
      <c r="B54" s="62"/>
      <c r="C54" s="138"/>
      <c r="D54" s="12"/>
      <c r="E54" s="11"/>
      <c r="F54" s="9"/>
      <c r="G54" s="10"/>
      <c r="H54" s="10"/>
      <c r="I54" s="10"/>
      <c r="J54" s="13"/>
      <c r="K54" s="14">
        <f t="shared" si="0"/>
        <v>0</v>
      </c>
      <c r="L54" s="15">
        <f t="shared" si="1"/>
        <v>0</v>
      </c>
      <c r="M54" s="15">
        <f t="shared" si="2"/>
        <v>0</v>
      </c>
      <c r="N54" s="124"/>
      <c r="O54" s="42"/>
    </row>
    <row r="55" spans="1:44" s="27" customFormat="1" outlineLevel="1" x14ac:dyDescent="0.35">
      <c r="B55" s="62"/>
      <c r="C55" s="23"/>
      <c r="D55" s="24"/>
      <c r="E55" s="25"/>
      <c r="F55" s="18">
        <f>SUM(F47:F54)</f>
        <v>0</v>
      </c>
      <c r="G55" s="25"/>
      <c r="H55" s="25"/>
      <c r="I55" s="139" t="s">
        <v>25</v>
      </c>
      <c r="J55" s="139"/>
      <c r="K55" s="139"/>
      <c r="L55" s="140"/>
      <c r="M55" s="26">
        <f>SUM(M47:M54)</f>
        <v>0</v>
      </c>
      <c r="N55" s="125"/>
      <c r="O55" s="42"/>
    </row>
    <row r="56" spans="1:44" s="27" customFormat="1" ht="7.9" customHeight="1" outlineLevel="1" x14ac:dyDescent="0.35">
      <c r="B56" s="63"/>
      <c r="C56" s="64"/>
      <c r="D56" s="64"/>
      <c r="E56" s="64"/>
      <c r="F56" s="64"/>
      <c r="G56" s="64"/>
      <c r="H56" s="64"/>
      <c r="I56" s="64"/>
      <c r="J56" s="64"/>
      <c r="K56" s="4"/>
      <c r="L56" s="5"/>
      <c r="M56" s="5"/>
      <c r="N56" s="6"/>
      <c r="O56" s="37"/>
    </row>
    <row r="57" spans="1:44" s="27" customFormat="1" x14ac:dyDescent="0.35"/>
    <row r="58" spans="1:44" s="27" customFormat="1" ht="33" customHeight="1" x14ac:dyDescent="0.35">
      <c r="A58" s="27" t="s">
        <v>31</v>
      </c>
      <c r="B58" s="200" t="s">
        <v>139</v>
      </c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2"/>
      <c r="P58" s="28"/>
    </row>
    <row r="59" spans="1:44" s="27" customFormat="1" ht="4.9000000000000004" customHeight="1" outlineLevel="1" x14ac:dyDescent="0.35">
      <c r="B59" s="3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39"/>
      <c r="P59" s="28"/>
    </row>
    <row r="60" spans="1:44" s="27" customFormat="1" outlineLevel="1" x14ac:dyDescent="0.35">
      <c r="B60" s="38"/>
      <c r="C60" s="128" t="s">
        <v>97</v>
      </c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39"/>
      <c r="P60" s="28"/>
    </row>
    <row r="61" spans="1:44" s="27" customFormat="1" ht="17.5" customHeight="1" outlineLevel="1" x14ac:dyDescent="0.35">
      <c r="B61" s="3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39"/>
      <c r="P61" s="28"/>
    </row>
    <row r="62" spans="1:44" s="65" customFormat="1" ht="31.5" customHeight="1" outlineLevel="1" x14ac:dyDescent="0.35">
      <c r="B62" s="66"/>
      <c r="C62" s="190" t="s">
        <v>103</v>
      </c>
      <c r="D62" s="191"/>
      <c r="E62" s="191"/>
      <c r="F62" s="191"/>
      <c r="G62" s="191"/>
      <c r="H62" s="192"/>
      <c r="I62" s="126"/>
      <c r="J62" s="127"/>
      <c r="K62" s="28"/>
      <c r="L62" s="28"/>
      <c r="M62" s="28"/>
      <c r="N62" s="28"/>
      <c r="O62" s="67"/>
      <c r="P62" s="68"/>
      <c r="AR62" s="69"/>
    </row>
    <row r="63" spans="1:44" s="65" customFormat="1" ht="31.5" customHeight="1" outlineLevel="1" x14ac:dyDescent="0.35">
      <c r="B63" s="66"/>
      <c r="C63" s="190" t="s">
        <v>104</v>
      </c>
      <c r="D63" s="191"/>
      <c r="E63" s="191"/>
      <c r="F63" s="191"/>
      <c r="G63" s="191"/>
      <c r="H63" s="192"/>
      <c r="I63" s="126"/>
      <c r="J63" s="127"/>
      <c r="K63" s="28"/>
      <c r="L63" s="28"/>
      <c r="M63" s="28"/>
      <c r="N63" s="28"/>
      <c r="O63" s="67"/>
      <c r="P63" s="68"/>
      <c r="AR63" s="69"/>
    </row>
    <row r="64" spans="1:44" s="65" customFormat="1" ht="31.5" customHeight="1" outlineLevel="1" x14ac:dyDescent="0.35">
      <c r="B64" s="66"/>
      <c r="C64" s="190" t="s">
        <v>105</v>
      </c>
      <c r="D64" s="191"/>
      <c r="E64" s="191"/>
      <c r="F64" s="191"/>
      <c r="G64" s="191"/>
      <c r="H64" s="192"/>
      <c r="I64" s="126"/>
      <c r="J64" s="127"/>
      <c r="K64" s="28"/>
      <c r="L64" s="28"/>
      <c r="M64" s="28"/>
      <c r="N64" s="28"/>
      <c r="O64" s="67"/>
      <c r="P64" s="68"/>
      <c r="AR64" s="69"/>
    </row>
    <row r="65" spans="2:44" s="65" customFormat="1" ht="31.5" customHeight="1" outlineLevel="1" x14ac:dyDescent="0.35">
      <c r="B65" s="66"/>
      <c r="C65" s="190" t="s">
        <v>106</v>
      </c>
      <c r="D65" s="191"/>
      <c r="E65" s="191"/>
      <c r="F65" s="191"/>
      <c r="G65" s="191"/>
      <c r="H65" s="192"/>
      <c r="I65" s="126"/>
      <c r="J65" s="127"/>
      <c r="K65" s="28"/>
      <c r="L65" s="28"/>
      <c r="M65" s="28"/>
      <c r="N65" s="28"/>
      <c r="O65" s="67"/>
      <c r="P65" s="68"/>
      <c r="AR65" s="69"/>
    </row>
    <row r="66" spans="2:44" s="65" customFormat="1" ht="25.15" customHeight="1" outlineLevel="1" x14ac:dyDescent="0.35">
      <c r="B66" s="66"/>
      <c r="C66" s="203" t="s">
        <v>107</v>
      </c>
      <c r="D66" s="204"/>
      <c r="E66" s="204"/>
      <c r="F66" s="204"/>
      <c r="G66" s="204"/>
      <c r="H66" s="204"/>
      <c r="I66" s="98"/>
      <c r="J66" s="99"/>
      <c r="O66" s="67"/>
      <c r="P66" s="68"/>
      <c r="AR66" s="69"/>
    </row>
    <row r="67" spans="2:44" s="65" customFormat="1" ht="73.900000000000006" customHeight="1" outlineLevel="1" x14ac:dyDescent="0.35">
      <c r="B67" s="66"/>
      <c r="C67" s="195"/>
      <c r="D67" s="196"/>
      <c r="E67" s="196"/>
      <c r="F67" s="196"/>
      <c r="G67" s="196"/>
      <c r="H67" s="196"/>
      <c r="I67" s="196"/>
      <c r="J67" s="197"/>
      <c r="K67" s="100"/>
      <c r="L67" s="100"/>
      <c r="M67" s="100"/>
      <c r="N67" s="100"/>
      <c r="O67" s="67"/>
      <c r="P67" s="68"/>
      <c r="AR67" s="69"/>
    </row>
    <row r="68" spans="2:44" s="27" customFormat="1" ht="6.65" customHeight="1" outlineLevel="1" x14ac:dyDescent="0.35">
      <c r="B68" s="70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2"/>
    </row>
    <row r="69" spans="2:44" s="27" customFormat="1" ht="26.5" customHeight="1" x14ac:dyDescent="0.35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  <row r="70" spans="2:44" s="27" customFormat="1" ht="19.899999999999999" customHeight="1" x14ac:dyDescent="0.35"/>
    <row r="71" spans="2:44" s="27" customFormat="1" ht="33" customHeight="1" x14ac:dyDescent="0.35">
      <c r="B71" s="171" t="s">
        <v>140</v>
      </c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3"/>
      <c r="P71" s="28"/>
    </row>
    <row r="72" spans="2:44" s="27" customFormat="1" ht="4.9000000000000004" customHeight="1" outlineLevel="1" x14ac:dyDescent="0.35">
      <c r="B72" s="3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39"/>
      <c r="P72" s="28"/>
    </row>
    <row r="73" spans="2:44" s="27" customFormat="1" outlineLevel="1" x14ac:dyDescent="0.35">
      <c r="B73" s="38"/>
      <c r="C73" s="128" t="s">
        <v>98</v>
      </c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39"/>
      <c r="P73" s="28"/>
    </row>
    <row r="74" spans="2:44" s="27" customFormat="1" ht="13.15" customHeight="1" outlineLevel="1" x14ac:dyDescent="0.35">
      <c r="B74" s="3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39"/>
      <c r="P74" s="28"/>
    </row>
    <row r="75" spans="2:44" s="65" customFormat="1" ht="32.5" customHeight="1" outlineLevel="1" x14ac:dyDescent="0.35">
      <c r="B75" s="73"/>
      <c r="C75" s="193" t="s">
        <v>26</v>
      </c>
      <c r="D75" s="194"/>
      <c r="E75" s="194"/>
      <c r="F75" s="194"/>
      <c r="G75" s="199" t="s">
        <v>27</v>
      </c>
      <c r="H75" s="188"/>
      <c r="I75" s="188"/>
      <c r="J75" s="188"/>
      <c r="K75" s="189"/>
      <c r="L75" s="188" t="s">
        <v>28</v>
      </c>
      <c r="M75" s="188"/>
      <c r="N75" s="189"/>
      <c r="O75" s="74"/>
      <c r="P75" s="68"/>
      <c r="AR75" s="69"/>
    </row>
    <row r="76" spans="2:44" s="27" customFormat="1" ht="79.5" customHeight="1" outlineLevel="1" x14ac:dyDescent="0.35">
      <c r="B76" s="73"/>
      <c r="C76" s="205"/>
      <c r="D76" s="206"/>
      <c r="E76" s="206"/>
      <c r="F76" s="207"/>
      <c r="G76" s="113"/>
      <c r="H76" s="114"/>
      <c r="I76" s="114"/>
      <c r="J76" s="114"/>
      <c r="K76" s="115"/>
      <c r="L76" s="116"/>
      <c r="M76" s="117"/>
      <c r="N76" s="118"/>
      <c r="O76" s="42"/>
    </row>
    <row r="77" spans="2:44" s="27" customFormat="1" ht="6.65" customHeight="1" outlineLevel="1" x14ac:dyDescent="0.35">
      <c r="B77" s="73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48"/>
    </row>
    <row r="78" spans="2:44" s="65" customFormat="1" ht="32.5" customHeight="1" outlineLevel="1" x14ac:dyDescent="0.35">
      <c r="B78" s="73"/>
      <c r="C78" s="193" t="s">
        <v>29</v>
      </c>
      <c r="D78" s="194"/>
      <c r="E78" s="194"/>
      <c r="F78" s="198"/>
      <c r="G78" s="199" t="s">
        <v>125</v>
      </c>
      <c r="H78" s="188"/>
      <c r="I78" s="188"/>
      <c r="J78" s="188"/>
      <c r="K78" s="189"/>
      <c r="L78" s="188" t="s">
        <v>30</v>
      </c>
      <c r="M78" s="188"/>
      <c r="N78" s="189"/>
      <c r="O78" s="74"/>
      <c r="P78" s="68"/>
      <c r="AR78" s="69"/>
    </row>
    <row r="79" spans="2:44" s="27" customFormat="1" ht="65.25" customHeight="1" outlineLevel="1" x14ac:dyDescent="0.35">
      <c r="B79" s="73"/>
      <c r="C79" s="205"/>
      <c r="D79" s="206"/>
      <c r="E79" s="206"/>
      <c r="F79" s="207"/>
      <c r="G79" s="113"/>
      <c r="H79" s="114"/>
      <c r="I79" s="114"/>
      <c r="J79" s="114"/>
      <c r="K79" s="115"/>
      <c r="L79" s="116"/>
      <c r="M79" s="117"/>
      <c r="N79" s="118"/>
      <c r="O79" s="42"/>
    </row>
    <row r="80" spans="2:44" s="27" customFormat="1" ht="9.65" customHeight="1" outlineLevel="1" x14ac:dyDescent="0.35">
      <c r="B80" s="75"/>
      <c r="C80" s="46"/>
      <c r="D80" s="46"/>
      <c r="E80" s="46"/>
      <c r="F80" s="46"/>
      <c r="G80" s="47"/>
      <c r="H80" s="47"/>
      <c r="I80" s="47"/>
      <c r="J80" s="47"/>
      <c r="K80" s="47"/>
      <c r="L80" s="3"/>
      <c r="M80" s="3"/>
      <c r="N80" s="3"/>
      <c r="O80" s="37"/>
    </row>
    <row r="81" spans="2:44" s="77" customFormat="1" x14ac:dyDescent="0.6"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34"/>
      <c r="N81" s="34"/>
      <c r="O81" s="34"/>
    </row>
    <row r="82" spans="2:44" s="27" customFormat="1" ht="33" customHeight="1" x14ac:dyDescent="0.35">
      <c r="B82" s="129" t="str">
        <f>+"7. OBJETIVOS e KPIs "&amp;$B$3+1&amp;": DEFINIÇÃO"</f>
        <v>7. OBJETIVOS e KPIs 2027: DEFINIÇÃO</v>
      </c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1"/>
      <c r="P82" s="28"/>
    </row>
    <row r="83" spans="2:44" s="27" customFormat="1" ht="4.9000000000000004" customHeight="1" outlineLevel="1" x14ac:dyDescent="0.35">
      <c r="B83" s="3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39"/>
      <c r="P83" s="28"/>
    </row>
    <row r="84" spans="2:44" s="27" customFormat="1" outlineLevel="1" x14ac:dyDescent="0.35">
      <c r="B84" s="38"/>
      <c r="C84" s="123" t="s">
        <v>100</v>
      </c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39"/>
      <c r="P84" s="28"/>
    </row>
    <row r="85" spans="2:44" s="27" customFormat="1" ht="10.5" customHeight="1" outlineLevel="1" x14ac:dyDescent="0.35">
      <c r="B85" s="62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42"/>
      <c r="P85" s="28"/>
      <c r="AR85" s="29"/>
    </row>
    <row r="86" spans="2:44" s="27" customFormat="1" ht="7.4" customHeight="1" outlineLevel="1" x14ac:dyDescent="0.35">
      <c r="B86" s="62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42"/>
    </row>
    <row r="87" spans="2:44" s="27" customFormat="1" ht="18.75" customHeight="1" outlineLevel="1" x14ac:dyDescent="0.35">
      <c r="B87" s="62"/>
      <c r="C87" s="132" t="s">
        <v>96</v>
      </c>
      <c r="D87" s="133"/>
      <c r="E87" s="141" t="s">
        <v>11</v>
      </c>
      <c r="F87" s="141" t="s">
        <v>12</v>
      </c>
      <c r="G87" s="119" t="s">
        <v>13</v>
      </c>
      <c r="H87" s="120"/>
      <c r="I87" s="121"/>
      <c r="J87" s="111" t="s">
        <v>14</v>
      </c>
      <c r="K87" s="111" t="s">
        <v>15</v>
      </c>
      <c r="L87" s="111" t="s">
        <v>16</v>
      </c>
      <c r="M87" s="111" t="s">
        <v>17</v>
      </c>
      <c r="N87" s="111" t="s">
        <v>18</v>
      </c>
      <c r="O87" s="42"/>
    </row>
    <row r="88" spans="2:44" s="27" customFormat="1" ht="18.75" customHeight="1" outlineLevel="1" x14ac:dyDescent="0.35">
      <c r="B88" s="62"/>
      <c r="C88" s="134"/>
      <c r="D88" s="135"/>
      <c r="E88" s="142"/>
      <c r="F88" s="142"/>
      <c r="G88" s="19" t="s">
        <v>19</v>
      </c>
      <c r="H88" s="19" t="s">
        <v>20</v>
      </c>
      <c r="I88" s="19" t="s">
        <v>21</v>
      </c>
      <c r="J88" s="122"/>
      <c r="K88" s="122"/>
      <c r="L88" s="122"/>
      <c r="M88" s="122"/>
      <c r="N88" s="112"/>
      <c r="O88" s="42"/>
    </row>
    <row r="89" spans="2:44" s="27" customFormat="1" ht="31.15" customHeight="1" outlineLevel="1" x14ac:dyDescent="0.35">
      <c r="B89" s="62"/>
      <c r="C89" s="136" t="s">
        <v>22</v>
      </c>
      <c r="D89" s="7"/>
      <c r="E89" s="8"/>
      <c r="F89" s="9"/>
      <c r="G89" s="10"/>
      <c r="H89" s="10"/>
      <c r="I89" s="10"/>
      <c r="J89" s="13"/>
      <c r="K89" s="14">
        <f>IFERROR(J89/H89,0)</f>
        <v>0</v>
      </c>
      <c r="L89" s="15">
        <f>IFERROR(IF(J89&lt;G89,0,IF(J89&lt;=H89,((20%*(J89-G89))/(H89-G89))+80%,IF(J89&gt;I89,1.2,((20%*(J89-H89))/(I89-H89))+100%))),0)</f>
        <v>0</v>
      </c>
      <c r="M89" s="15">
        <f>+L89*F89</f>
        <v>0</v>
      </c>
      <c r="N89" s="124"/>
      <c r="O89" s="42"/>
    </row>
    <row r="90" spans="2:44" s="27" customFormat="1" ht="31.15" customHeight="1" outlineLevel="1" x14ac:dyDescent="0.35">
      <c r="B90" s="62"/>
      <c r="C90" s="137"/>
      <c r="D90" s="7"/>
      <c r="E90" s="8"/>
      <c r="F90" s="9"/>
      <c r="G90" s="8"/>
      <c r="H90" s="8"/>
      <c r="I90" s="8"/>
      <c r="J90" s="16"/>
      <c r="K90" s="14">
        <f t="shared" ref="K90:K96" si="3">IFERROR(J90/H90,0)</f>
        <v>0</v>
      </c>
      <c r="L90" s="15">
        <f t="shared" ref="L90" si="4">IFERROR(IF(J90&lt;G90,0,IF(J90&lt;=H90,((20%*(J90-G90))/(H90-G90))+80%,IF(J90&gt;I90,1.2,((20%*(J90-H90))/(I90-H90))+100%))),0)</f>
        <v>0</v>
      </c>
      <c r="M90" s="15">
        <f t="shared" ref="M90:M96" si="5">+L90*F90</f>
        <v>0</v>
      </c>
      <c r="N90" s="124"/>
      <c r="O90" s="42"/>
    </row>
    <row r="91" spans="2:44" s="27" customFormat="1" ht="31.15" customHeight="1" outlineLevel="1" x14ac:dyDescent="0.35">
      <c r="B91" s="62"/>
      <c r="C91" s="137"/>
      <c r="D91" s="7"/>
      <c r="E91" s="8"/>
      <c r="F91" s="9"/>
      <c r="G91" s="8"/>
      <c r="H91" s="8"/>
      <c r="I91" s="8"/>
      <c r="J91" s="16"/>
      <c r="K91" s="14">
        <f t="shared" si="3"/>
        <v>0</v>
      </c>
      <c r="L91" s="15">
        <f>IFERROR(IF(J91&lt;G91,0,IF(J91&lt;=H91,((20%*(J91-G91))/(H91-G91))+80%,IF(J91&gt;I91,1.2,((20%*(J91-H91))/(I91-H91))+100%))),0)</f>
        <v>0</v>
      </c>
      <c r="M91" s="15">
        <f t="shared" si="5"/>
        <v>0</v>
      </c>
      <c r="N91" s="124"/>
      <c r="O91" s="42"/>
    </row>
    <row r="92" spans="2:44" s="27" customFormat="1" ht="31.15" customHeight="1" outlineLevel="1" x14ac:dyDescent="0.35">
      <c r="B92" s="62"/>
      <c r="C92" s="138"/>
      <c r="D92" s="7"/>
      <c r="E92" s="8"/>
      <c r="F92" s="9"/>
      <c r="G92" s="10"/>
      <c r="H92" s="10"/>
      <c r="I92" s="10"/>
      <c r="J92" s="13"/>
      <c r="K92" s="14">
        <f t="shared" si="3"/>
        <v>0</v>
      </c>
      <c r="L92" s="15">
        <f>IFERROR(IF(J92&lt;G92,0,IF(J92&lt;=H92,((20%*(J92-G92))/(H92-G92))+80%,IF(J92&gt;I92,1.2,((20%*(J92-H92))/(I92-H92))+100%))),0)</f>
        <v>0</v>
      </c>
      <c r="M92" s="15">
        <f t="shared" si="5"/>
        <v>0</v>
      </c>
      <c r="N92" s="124"/>
      <c r="O92" s="42"/>
    </row>
    <row r="93" spans="2:44" s="27" customFormat="1" ht="31.15" customHeight="1" outlineLevel="1" x14ac:dyDescent="0.35">
      <c r="B93" s="62"/>
      <c r="C93" s="136" t="s">
        <v>24</v>
      </c>
      <c r="D93" s="7"/>
      <c r="E93" s="8"/>
      <c r="F93" s="9"/>
      <c r="G93" s="10"/>
      <c r="H93" s="10"/>
      <c r="I93" s="10"/>
      <c r="J93" s="10"/>
      <c r="K93" s="14">
        <f t="shared" si="3"/>
        <v>0</v>
      </c>
      <c r="L93" s="15">
        <f t="shared" ref="L93:L96" si="6">IFERROR(IF(J93&lt;G93,0,IF(J93&lt;=H93,((20%*(J93-G93))/(H93-G93))+80%,IF(J93&gt;I93,1.2,((20%*(J93-H93))/(I93-H93))+100%))),0)</f>
        <v>0</v>
      </c>
      <c r="M93" s="15">
        <f t="shared" si="5"/>
        <v>0</v>
      </c>
      <c r="N93" s="124"/>
      <c r="O93" s="42"/>
    </row>
    <row r="94" spans="2:44" s="27" customFormat="1" ht="31.15" customHeight="1" outlineLevel="1" x14ac:dyDescent="0.35">
      <c r="B94" s="62"/>
      <c r="C94" s="137"/>
      <c r="D94" s="7"/>
      <c r="E94" s="8"/>
      <c r="F94" s="9"/>
      <c r="G94" s="10"/>
      <c r="H94" s="10"/>
      <c r="I94" s="10"/>
      <c r="J94" s="13"/>
      <c r="K94" s="14">
        <f t="shared" si="3"/>
        <v>0</v>
      </c>
      <c r="L94" s="15">
        <f t="shared" si="6"/>
        <v>0</v>
      </c>
      <c r="M94" s="15">
        <f t="shared" si="5"/>
        <v>0</v>
      </c>
      <c r="N94" s="124"/>
      <c r="O94" s="42"/>
    </row>
    <row r="95" spans="2:44" s="27" customFormat="1" ht="31.15" customHeight="1" outlineLevel="1" x14ac:dyDescent="0.35">
      <c r="B95" s="62"/>
      <c r="C95" s="137"/>
      <c r="D95" s="7"/>
      <c r="E95" s="11"/>
      <c r="F95" s="9"/>
      <c r="G95" s="10"/>
      <c r="H95" s="10"/>
      <c r="I95" s="10"/>
      <c r="J95" s="13"/>
      <c r="K95" s="14">
        <f t="shared" si="3"/>
        <v>0</v>
      </c>
      <c r="L95" s="15">
        <f t="shared" si="6"/>
        <v>0</v>
      </c>
      <c r="M95" s="15">
        <f t="shared" si="5"/>
        <v>0</v>
      </c>
      <c r="N95" s="124"/>
      <c r="O95" s="42"/>
    </row>
    <row r="96" spans="2:44" s="27" customFormat="1" ht="31.15" customHeight="1" outlineLevel="1" x14ac:dyDescent="0.35">
      <c r="B96" s="62"/>
      <c r="C96" s="138"/>
      <c r="D96" s="12"/>
      <c r="E96" s="11"/>
      <c r="F96" s="9"/>
      <c r="G96" s="10"/>
      <c r="H96" s="10"/>
      <c r="I96" s="10"/>
      <c r="J96" s="13"/>
      <c r="K96" s="14">
        <f t="shared" si="3"/>
        <v>0</v>
      </c>
      <c r="L96" s="15">
        <f t="shared" si="6"/>
        <v>0</v>
      </c>
      <c r="M96" s="15">
        <f t="shared" si="5"/>
        <v>0</v>
      </c>
      <c r="N96" s="124"/>
      <c r="O96" s="42"/>
    </row>
    <row r="97" spans="2:15" s="27" customFormat="1" ht="31.15" customHeight="1" outlineLevel="1" x14ac:dyDescent="0.35">
      <c r="B97" s="62"/>
      <c r="C97" s="23"/>
      <c r="D97" s="24"/>
      <c r="E97" s="25"/>
      <c r="F97" s="17">
        <f>SUM(F89:F96)</f>
        <v>0</v>
      </c>
      <c r="G97" s="25"/>
      <c r="H97" s="25"/>
      <c r="I97" s="139" t="s">
        <v>25</v>
      </c>
      <c r="J97" s="139"/>
      <c r="K97" s="139"/>
      <c r="L97" s="140"/>
      <c r="M97" s="26">
        <f>SUM(M89:M96)</f>
        <v>0</v>
      </c>
      <c r="N97" s="125"/>
      <c r="O97" s="42"/>
    </row>
    <row r="98" spans="2:15" s="27" customFormat="1" ht="7.9" customHeight="1" outlineLevel="1" x14ac:dyDescent="0.35">
      <c r="B98" s="63"/>
      <c r="C98" s="64"/>
      <c r="D98" s="64"/>
      <c r="E98" s="64"/>
      <c r="F98" s="64"/>
      <c r="G98" s="64"/>
      <c r="H98" s="64"/>
      <c r="I98" s="64"/>
      <c r="J98" s="64"/>
      <c r="K98" s="4"/>
      <c r="L98" s="5"/>
      <c r="M98" s="5"/>
      <c r="N98" s="6"/>
      <c r="O98" s="37"/>
    </row>
  </sheetData>
  <mergeCells count="99">
    <mergeCell ref="C14:D14"/>
    <mergeCell ref="C79:F79"/>
    <mergeCell ref="C76:F76"/>
    <mergeCell ref="B20:O20"/>
    <mergeCell ref="G25:K25"/>
    <mergeCell ref="L25:N25"/>
    <mergeCell ref="C51:C54"/>
    <mergeCell ref="I55:L55"/>
    <mergeCell ref="G34:M34"/>
    <mergeCell ref="G35:M35"/>
    <mergeCell ref="G36:M36"/>
    <mergeCell ref="G37:M37"/>
    <mergeCell ref="G38:M38"/>
    <mergeCell ref="I63:J63"/>
    <mergeCell ref="I64:J64"/>
    <mergeCell ref="I65:J65"/>
    <mergeCell ref="B58:O58"/>
    <mergeCell ref="C66:H66"/>
    <mergeCell ref="E36:F36"/>
    <mergeCell ref="E38:F38"/>
    <mergeCell ref="E37:F37"/>
    <mergeCell ref="B41:O41"/>
    <mergeCell ref="N45:N46"/>
    <mergeCell ref="L75:N75"/>
    <mergeCell ref="G76:K76"/>
    <mergeCell ref="L76:N76"/>
    <mergeCell ref="L78:N78"/>
    <mergeCell ref="C62:H62"/>
    <mergeCell ref="C63:H63"/>
    <mergeCell ref="C64:H64"/>
    <mergeCell ref="C65:H65"/>
    <mergeCell ref="C75:F75"/>
    <mergeCell ref="B71:O71"/>
    <mergeCell ref="C67:J67"/>
    <mergeCell ref="C78:F78"/>
    <mergeCell ref="G78:K78"/>
    <mergeCell ref="G75:K75"/>
    <mergeCell ref="B29:O29"/>
    <mergeCell ref="G24:K24"/>
    <mergeCell ref="C47:C50"/>
    <mergeCell ref="E45:E46"/>
    <mergeCell ref="F45:F46"/>
    <mergeCell ref="G45:I45"/>
    <mergeCell ref="C33:D33"/>
    <mergeCell ref="C45:D46"/>
    <mergeCell ref="E33:F33"/>
    <mergeCell ref="E34:F34"/>
    <mergeCell ref="E35:F35"/>
    <mergeCell ref="J45:J46"/>
    <mergeCell ref="K45:K46"/>
    <mergeCell ref="L45:L46"/>
    <mergeCell ref="M45:M46"/>
    <mergeCell ref="G33:M33"/>
    <mergeCell ref="F17:G17"/>
    <mergeCell ref="I17:J17"/>
    <mergeCell ref="B6:O9"/>
    <mergeCell ref="B2:O2"/>
    <mergeCell ref="B3:O3"/>
    <mergeCell ref="B11:O11"/>
    <mergeCell ref="F13:G13"/>
    <mergeCell ref="I13:J13"/>
    <mergeCell ref="F14:G14"/>
    <mergeCell ref="I14:J14"/>
    <mergeCell ref="F16:G16"/>
    <mergeCell ref="I16:J16"/>
    <mergeCell ref="B5:O5"/>
    <mergeCell ref="C16:D16"/>
    <mergeCell ref="C17:D17"/>
    <mergeCell ref="C13:D13"/>
    <mergeCell ref="D24:F24"/>
    <mergeCell ref="D25:F25"/>
    <mergeCell ref="D26:F26"/>
    <mergeCell ref="G26:K26"/>
    <mergeCell ref="L26:N26"/>
    <mergeCell ref="L24:N24"/>
    <mergeCell ref="C31:N31"/>
    <mergeCell ref="C22:N22"/>
    <mergeCell ref="N89:N97"/>
    <mergeCell ref="N47:N55"/>
    <mergeCell ref="I62:J62"/>
    <mergeCell ref="C60:N60"/>
    <mergeCell ref="C73:N73"/>
    <mergeCell ref="B82:O82"/>
    <mergeCell ref="C87:D88"/>
    <mergeCell ref="C89:C92"/>
    <mergeCell ref="C93:C96"/>
    <mergeCell ref="I97:L97"/>
    <mergeCell ref="C84:N84"/>
    <mergeCell ref="C43:N43"/>
    <mergeCell ref="E87:E88"/>
    <mergeCell ref="F87:F88"/>
    <mergeCell ref="N87:N88"/>
    <mergeCell ref="G79:K79"/>
    <mergeCell ref="L79:N79"/>
    <mergeCell ref="G87:I87"/>
    <mergeCell ref="J87:J88"/>
    <mergeCell ref="K87:K88"/>
    <mergeCell ref="L87:L88"/>
    <mergeCell ref="M87:M88"/>
  </mergeCells>
  <conditionalFormatting sqref="F55">
    <cfRule type="cellIs" dxfId="3" priority="3" operator="greaterThan">
      <formula>1</formula>
    </cfRule>
    <cfRule type="cellIs" dxfId="2" priority="4" operator="lessThan">
      <formula>1</formula>
    </cfRule>
  </conditionalFormatting>
  <conditionalFormatting sqref="F97">
    <cfRule type="cellIs" dxfId="1" priority="8" operator="greaterThan">
      <formula>1</formula>
    </cfRule>
    <cfRule type="cellIs" dxfId="0" priority="9" operator="lessThan">
      <formula>1</formula>
    </cfRule>
  </conditionalFormatting>
  <conditionalFormatting sqref="I62:I65">
    <cfRule type="iconSet" priority="1">
      <iconSet>
        <cfvo type="percent" val="0"/>
        <cfvo type="num" val="2"/>
        <cfvo type="num" val="4"/>
      </iconSet>
    </cfRule>
  </conditionalFormatting>
  <conditionalFormatting sqref="N34:N38">
    <cfRule type="iconSet" priority="5">
      <iconSet iconSet="3Flags">
        <cfvo type="percent" val="0"/>
        <cfvo type="num" val="2"/>
        <cfvo type="num" val="4"/>
      </iconSet>
    </cfRule>
  </conditionalFormatting>
  <dataValidations count="6">
    <dataValidation allowBlank="1" showInputMessage="1" showErrorMessage="1" prompt="Deverá fechar em 100%" sqref="F55 F97" xr:uid="{671BFB6F-5B25-4183-B311-9BCD3523AC8E}"/>
    <dataValidation allowBlank="1" showInputMessage="1" showErrorMessage="1" prompt="Insira o nome de quem esta avaliando" sqref="I17:J17" xr:uid="{566E1D77-7F25-43F3-87AA-469BD7544599}"/>
    <dataValidation type="whole" allowBlank="1" showInputMessage="1" showErrorMessage="1" errorTitle="Digito invalido" error="Preenchimento deve ser:_x000a_ 0 (abaixo do esperado)_x000a_1 (No esperado)_x000a_2 (acima do esperado)" sqref="N39" xr:uid="{D58443FC-6F33-47A1-A31D-99A9050C309F}">
      <formula1>0</formula1>
      <formula2>2</formula2>
    </dataValidation>
    <dataValidation type="list" allowBlank="1" showInputMessage="1" showErrorMessage="1" errorTitle="Digito invalido" error="Preenchimento deve ser:_x000a_ 0 (abaixo do esperado)_x000a_1 (No esperado)_x000a_2 (acima do esperado)" sqref="N34:N38" xr:uid="{69958DE3-803F-4807-91A3-EC7FD7EA9D91}">
      <formula1>"1,2,3,4,5"</formula1>
    </dataValidation>
    <dataValidation type="list" allowBlank="1" showInputMessage="1" showErrorMessage="1" sqref="F17:G17" xr:uid="{2C584E9D-F88D-41F6-9625-3C0BDEB310CA}">
      <formula1>"Trainee,Junior,Associate,Senior,Lead,Principal,Director"</formula1>
    </dataValidation>
    <dataValidation type="list" allowBlank="1" showInputMessage="1" showErrorMessage="1" sqref="I62:I65" xr:uid="{1B68FE4A-F4DD-4A14-B717-4BCB2A453B61}">
      <formula1>"1,2,3,4,5"</formula1>
    </dataValidation>
  </dataValidations>
  <printOptions horizontalCentered="1"/>
  <pageMargins left="0.25" right="0.25" top="0.75" bottom="0.75" header="0.3" footer="0.3"/>
  <pageSetup paperSize="9" scale="34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259C-4D68-4A5F-BFC7-8C1BE1C5A526}">
  <dimension ref="A1:E31"/>
  <sheetViews>
    <sheetView showGridLines="0" topLeftCell="B31" workbookViewId="0">
      <selection activeCell="C8" sqref="C8"/>
    </sheetView>
  </sheetViews>
  <sheetFormatPr defaultColWidth="50.7265625" defaultRowHeight="13" x14ac:dyDescent="0.35"/>
  <cols>
    <col min="1" max="1" width="20.81640625" style="1" hidden="1" customWidth="1"/>
    <col min="2" max="2" width="20.81640625" style="1" customWidth="1"/>
    <col min="3" max="3" width="26.1796875" style="1" customWidth="1"/>
    <col min="4" max="4" width="8.54296875" style="1" bestFit="1" customWidth="1"/>
    <col min="5" max="16384" width="50.7265625" style="1"/>
  </cols>
  <sheetData>
    <row r="1" spans="1:5" x14ac:dyDescent="0.35">
      <c r="A1" s="1" t="s">
        <v>90</v>
      </c>
      <c r="B1" s="1" t="s">
        <v>33</v>
      </c>
      <c r="C1" s="1" t="s">
        <v>87</v>
      </c>
      <c r="D1" s="1" t="s">
        <v>85</v>
      </c>
      <c r="E1" s="1" t="s">
        <v>76</v>
      </c>
    </row>
    <row r="2" spans="1:5" ht="39" x14ac:dyDescent="0.35">
      <c r="A2" s="2" t="str">
        <f>Tabela1[[#This Row],[Nível]]&amp;Tabela1[[#This Row],[Valor]]</f>
        <v>TraineeAgilidade Criativa</v>
      </c>
      <c r="B2" s="1" t="s">
        <v>39</v>
      </c>
      <c r="C2" s="1" t="s">
        <v>75</v>
      </c>
      <c r="D2" s="1" t="s">
        <v>36</v>
      </c>
      <c r="E2" s="2" t="s">
        <v>40</v>
      </c>
    </row>
    <row r="3" spans="1:5" ht="26" x14ac:dyDescent="0.35">
      <c r="A3" s="2" t="str">
        <f>Tabela1[[#This Row],[Nível]]&amp;Tabela1[[#This Row],[Valor]]</f>
        <v>JuniorAgilidade Criativa</v>
      </c>
      <c r="B3" s="1" t="s">
        <v>39</v>
      </c>
      <c r="C3" s="1" t="s">
        <v>75</v>
      </c>
      <c r="D3" s="1" t="s">
        <v>34</v>
      </c>
      <c r="E3" s="2" t="s">
        <v>41</v>
      </c>
    </row>
    <row r="4" spans="1:5" ht="26" x14ac:dyDescent="0.35">
      <c r="A4" s="2" t="str">
        <f>Tabela1[[#This Row],[Nível]]&amp;Tabela1[[#This Row],[Valor]]</f>
        <v>AssociateAgilidade Criativa</v>
      </c>
      <c r="B4" s="1" t="s">
        <v>39</v>
      </c>
      <c r="C4" s="1" t="s">
        <v>75</v>
      </c>
      <c r="D4" s="1" t="s">
        <v>32</v>
      </c>
      <c r="E4" s="2" t="s">
        <v>42</v>
      </c>
    </row>
    <row r="5" spans="1:5" ht="26" x14ac:dyDescent="0.35">
      <c r="A5" s="2" t="str">
        <f>Tabela1[[#This Row],[Nível]]&amp;Tabela1[[#This Row],[Valor]]</f>
        <v>SeniorAgilidade Criativa</v>
      </c>
      <c r="B5" s="1" t="s">
        <v>39</v>
      </c>
      <c r="C5" s="1" t="s">
        <v>75</v>
      </c>
      <c r="D5" s="1" t="s">
        <v>35</v>
      </c>
      <c r="E5" s="2" t="s">
        <v>43</v>
      </c>
    </row>
    <row r="6" spans="1:5" ht="26" x14ac:dyDescent="0.35">
      <c r="A6" s="2" t="str">
        <f>Tabela1[[#This Row],[Nível]]&amp;Tabela1[[#This Row],[Valor]]</f>
        <v>LeadAgilidade Criativa</v>
      </c>
      <c r="B6" s="1" t="s">
        <v>39</v>
      </c>
      <c r="C6" s="1" t="s">
        <v>75</v>
      </c>
      <c r="D6" s="1" t="s">
        <v>37</v>
      </c>
      <c r="E6" s="2" t="s">
        <v>44</v>
      </c>
    </row>
    <row r="7" spans="1:5" ht="26" x14ac:dyDescent="0.35">
      <c r="A7" s="2" t="str">
        <f>Tabela1[[#This Row],[Nível]]&amp;Tabela1[[#This Row],[Valor]]</f>
        <v>PrincipalAgilidade Criativa</v>
      </c>
      <c r="B7" s="1" t="s">
        <v>39</v>
      </c>
      <c r="C7" s="1" t="s">
        <v>75</v>
      </c>
      <c r="D7" s="1" t="s">
        <v>38</v>
      </c>
      <c r="E7" s="2" t="s">
        <v>45</v>
      </c>
    </row>
    <row r="8" spans="1:5" ht="26" x14ac:dyDescent="0.35">
      <c r="A8" s="2" t="str">
        <f>Tabela1[[#This Row],[Nível]]&amp;Tabela1[[#This Row],[Valor]]</f>
        <v>TraineeEspirito de equipa</v>
      </c>
      <c r="B8" s="2" t="s">
        <v>86</v>
      </c>
      <c r="C8" s="2" t="s">
        <v>46</v>
      </c>
      <c r="D8" s="1" t="s">
        <v>36</v>
      </c>
      <c r="E8" s="2" t="s">
        <v>47</v>
      </c>
    </row>
    <row r="9" spans="1:5" ht="26" x14ac:dyDescent="0.35">
      <c r="A9" s="2" t="str">
        <f>Tabela1[[#This Row],[Nível]]&amp;Tabela1[[#This Row],[Valor]]</f>
        <v>JuniorEspirito de equipa</v>
      </c>
      <c r="B9" s="2" t="s">
        <v>86</v>
      </c>
      <c r="C9" s="2" t="s">
        <v>46</v>
      </c>
      <c r="D9" s="1" t="s">
        <v>34</v>
      </c>
      <c r="E9" s="2" t="s">
        <v>48</v>
      </c>
    </row>
    <row r="10" spans="1:5" ht="26" x14ac:dyDescent="0.35">
      <c r="A10" s="2" t="str">
        <f>Tabela1[[#This Row],[Nível]]&amp;Tabela1[[#This Row],[Valor]]</f>
        <v>AssociateEspirito de equipa</v>
      </c>
      <c r="B10" s="2" t="s">
        <v>86</v>
      </c>
      <c r="C10" s="2" t="s">
        <v>46</v>
      </c>
      <c r="D10" s="1" t="s">
        <v>32</v>
      </c>
      <c r="E10" s="2" t="s">
        <v>49</v>
      </c>
    </row>
    <row r="11" spans="1:5" ht="26" x14ac:dyDescent="0.35">
      <c r="A11" s="2" t="str">
        <f>Tabela1[[#This Row],[Nível]]&amp;Tabela1[[#This Row],[Valor]]</f>
        <v>SeniorEspirito de equipa</v>
      </c>
      <c r="B11" s="2" t="s">
        <v>86</v>
      </c>
      <c r="C11" s="2" t="s">
        <v>46</v>
      </c>
      <c r="D11" s="1" t="s">
        <v>35</v>
      </c>
      <c r="E11" s="2" t="s">
        <v>50</v>
      </c>
    </row>
    <row r="12" spans="1:5" ht="26" x14ac:dyDescent="0.35">
      <c r="A12" s="2" t="str">
        <f>Tabela1[[#This Row],[Nível]]&amp;Tabela1[[#This Row],[Valor]]</f>
        <v>LeadEspirito de equipa</v>
      </c>
      <c r="B12" s="2" t="s">
        <v>86</v>
      </c>
      <c r="C12" s="2" t="s">
        <v>46</v>
      </c>
      <c r="D12" s="1" t="s">
        <v>37</v>
      </c>
      <c r="E12" s="2" t="s">
        <v>51</v>
      </c>
    </row>
    <row r="13" spans="1:5" ht="26" x14ac:dyDescent="0.35">
      <c r="A13" s="2" t="str">
        <f>Tabela1[[#This Row],[Nível]]&amp;Tabela1[[#This Row],[Valor]]</f>
        <v>PrincipalEspirito de equipa</v>
      </c>
      <c r="B13" s="2" t="s">
        <v>86</v>
      </c>
      <c r="C13" s="2" t="s">
        <v>46</v>
      </c>
      <c r="D13" s="1" t="s">
        <v>38</v>
      </c>
      <c r="E13" s="2" t="s">
        <v>52</v>
      </c>
    </row>
    <row r="14" spans="1:5" ht="26" x14ac:dyDescent="0.35">
      <c r="A14" s="2" t="str">
        <f>Tabela1[[#This Row],[Nível]]&amp;Tabela1[[#This Row],[Valor]]</f>
        <v>TraineeFlexibilidade</v>
      </c>
      <c r="B14" s="2" t="s">
        <v>78</v>
      </c>
      <c r="C14" s="2" t="s">
        <v>53</v>
      </c>
      <c r="D14" s="1" t="s">
        <v>36</v>
      </c>
      <c r="E14" s="2" t="s">
        <v>54</v>
      </c>
    </row>
    <row r="15" spans="1:5" ht="26" x14ac:dyDescent="0.35">
      <c r="A15" s="2" t="str">
        <f>Tabela1[[#This Row],[Nível]]&amp;Tabela1[[#This Row],[Valor]]</f>
        <v>JuniorFlexibilidade</v>
      </c>
      <c r="B15" s="2" t="s">
        <v>78</v>
      </c>
      <c r="C15" s="2" t="s">
        <v>53</v>
      </c>
      <c r="D15" s="1" t="s">
        <v>34</v>
      </c>
      <c r="E15" s="2" t="s">
        <v>55</v>
      </c>
    </row>
    <row r="16" spans="1:5" ht="26" x14ac:dyDescent="0.35">
      <c r="A16" s="2" t="str">
        <f>Tabela1[[#This Row],[Nível]]&amp;Tabela1[[#This Row],[Valor]]</f>
        <v>AssociateFlexibilidade</v>
      </c>
      <c r="B16" s="2" t="s">
        <v>78</v>
      </c>
      <c r="C16" s="2" t="s">
        <v>53</v>
      </c>
      <c r="D16" s="1" t="s">
        <v>32</v>
      </c>
      <c r="E16" s="2" t="s">
        <v>56</v>
      </c>
    </row>
    <row r="17" spans="1:5" ht="26" x14ac:dyDescent="0.35">
      <c r="A17" s="2" t="str">
        <f>Tabela1[[#This Row],[Nível]]&amp;Tabela1[[#This Row],[Valor]]</f>
        <v>SeniorFlexibilidade</v>
      </c>
      <c r="B17" s="2" t="s">
        <v>78</v>
      </c>
      <c r="C17" s="2" t="s">
        <v>53</v>
      </c>
      <c r="D17" s="1" t="s">
        <v>35</v>
      </c>
      <c r="E17" s="2" t="s">
        <v>57</v>
      </c>
    </row>
    <row r="18" spans="1:5" ht="26" x14ac:dyDescent="0.35">
      <c r="A18" s="2" t="str">
        <f>Tabela1[[#This Row],[Nível]]&amp;Tabela1[[#This Row],[Valor]]</f>
        <v>LeadFlexibilidade</v>
      </c>
      <c r="B18" s="2" t="s">
        <v>78</v>
      </c>
      <c r="C18" s="2" t="s">
        <v>53</v>
      </c>
      <c r="D18" s="1" t="s">
        <v>37</v>
      </c>
      <c r="E18" s="2" t="s">
        <v>58</v>
      </c>
    </row>
    <row r="19" spans="1:5" ht="26" x14ac:dyDescent="0.35">
      <c r="A19" s="2" t="str">
        <f>Tabela1[[#This Row],[Nível]]&amp;Tabela1[[#This Row],[Valor]]</f>
        <v>PrincipalFlexibilidade</v>
      </c>
      <c r="B19" s="2" t="s">
        <v>78</v>
      </c>
      <c r="C19" s="2" t="s">
        <v>53</v>
      </c>
      <c r="D19" s="1" t="s">
        <v>38</v>
      </c>
      <c r="E19" s="2" t="s">
        <v>59</v>
      </c>
    </row>
    <row r="20" spans="1:5" ht="26" x14ac:dyDescent="0.35">
      <c r="A20" s="2" t="str">
        <f>Tabela1[[#This Row],[Nível]]&amp;Tabela1[[#This Row],[Valor]]</f>
        <v>TraineeIntegridade e Respeito</v>
      </c>
      <c r="B20" s="2" t="s">
        <v>79</v>
      </c>
      <c r="C20" s="2" t="s">
        <v>60</v>
      </c>
      <c r="D20" s="1" t="s">
        <v>36</v>
      </c>
      <c r="E20" s="1" t="s">
        <v>61</v>
      </c>
    </row>
    <row r="21" spans="1:5" ht="26" x14ac:dyDescent="0.35">
      <c r="A21" s="2" t="str">
        <f>Tabela1[[#This Row],[Nível]]&amp;Tabela1[[#This Row],[Valor]]</f>
        <v>JuniorIntegridade e Respeito</v>
      </c>
      <c r="B21" s="2" t="s">
        <v>79</v>
      </c>
      <c r="C21" s="2" t="s">
        <v>60</v>
      </c>
      <c r="D21" s="1" t="s">
        <v>34</v>
      </c>
      <c r="E21" s="1" t="s">
        <v>62</v>
      </c>
    </row>
    <row r="22" spans="1:5" ht="26" x14ac:dyDescent="0.35">
      <c r="A22" s="2" t="str">
        <f>Tabela1[[#This Row],[Nível]]&amp;Tabela1[[#This Row],[Valor]]</f>
        <v>AssociateIntegridade e Respeito</v>
      </c>
      <c r="B22" s="2" t="s">
        <v>79</v>
      </c>
      <c r="C22" s="2" t="s">
        <v>60</v>
      </c>
      <c r="D22" s="1" t="s">
        <v>32</v>
      </c>
      <c r="E22" s="1" t="s">
        <v>63</v>
      </c>
    </row>
    <row r="23" spans="1:5" ht="26" x14ac:dyDescent="0.35">
      <c r="A23" s="2" t="str">
        <f>Tabela1[[#This Row],[Nível]]&amp;Tabela1[[#This Row],[Valor]]</f>
        <v>SeniorIntegridade e Respeito</v>
      </c>
      <c r="B23" s="2" t="s">
        <v>79</v>
      </c>
      <c r="C23" s="2" t="s">
        <v>60</v>
      </c>
      <c r="D23" s="1" t="s">
        <v>35</v>
      </c>
      <c r="E23" s="1" t="s">
        <v>64</v>
      </c>
    </row>
    <row r="24" spans="1:5" ht="26" x14ac:dyDescent="0.35">
      <c r="A24" s="2" t="str">
        <f>Tabela1[[#This Row],[Nível]]&amp;Tabela1[[#This Row],[Valor]]</f>
        <v>LeadIntegridade e Respeito</v>
      </c>
      <c r="B24" s="2" t="s">
        <v>79</v>
      </c>
      <c r="C24" s="2" t="s">
        <v>60</v>
      </c>
      <c r="D24" s="1" t="s">
        <v>37</v>
      </c>
      <c r="E24" s="1" t="s">
        <v>65</v>
      </c>
    </row>
    <row r="25" spans="1:5" ht="26" x14ac:dyDescent="0.35">
      <c r="A25" s="2" t="str">
        <f>Tabela1[[#This Row],[Nível]]&amp;Tabela1[[#This Row],[Valor]]</f>
        <v>PrincipalIntegridade e Respeito</v>
      </c>
      <c r="B25" s="2" t="s">
        <v>79</v>
      </c>
      <c r="C25" s="2" t="s">
        <v>60</v>
      </c>
      <c r="D25" s="1" t="s">
        <v>38</v>
      </c>
      <c r="E25" s="1" t="s">
        <v>66</v>
      </c>
    </row>
    <row r="26" spans="1:5" ht="26" x14ac:dyDescent="0.35">
      <c r="A26" s="2" t="str">
        <f>Tabela1[[#This Row],[Nível]]&amp;Tabela1[[#This Row],[Valor]]</f>
        <v>TraineeValorização das Pessoas</v>
      </c>
      <c r="B26" s="2" t="s">
        <v>80</v>
      </c>
      <c r="C26" s="2" t="s">
        <v>67</v>
      </c>
      <c r="D26" s="1" t="s">
        <v>36</v>
      </c>
      <c r="E26" s="1" t="s">
        <v>68</v>
      </c>
    </row>
    <row r="27" spans="1:5" ht="26" x14ac:dyDescent="0.35">
      <c r="A27" s="2" t="str">
        <f>Tabela1[[#This Row],[Nível]]&amp;Tabela1[[#This Row],[Valor]]</f>
        <v>JuniorValorização das Pessoas</v>
      </c>
      <c r="B27" s="2" t="s">
        <v>80</v>
      </c>
      <c r="C27" s="2" t="s">
        <v>67</v>
      </c>
      <c r="D27" s="1" t="s">
        <v>34</v>
      </c>
      <c r="E27" s="1" t="s">
        <v>69</v>
      </c>
    </row>
    <row r="28" spans="1:5" ht="26" x14ac:dyDescent="0.35">
      <c r="A28" s="2" t="str">
        <f>Tabela1[[#This Row],[Nível]]&amp;Tabela1[[#This Row],[Valor]]</f>
        <v>AssociateValorização das Pessoas</v>
      </c>
      <c r="B28" s="2" t="s">
        <v>80</v>
      </c>
      <c r="C28" s="2" t="s">
        <v>67</v>
      </c>
      <c r="D28" s="1" t="s">
        <v>32</v>
      </c>
      <c r="E28" s="1" t="s">
        <v>70</v>
      </c>
    </row>
    <row r="29" spans="1:5" ht="26" x14ac:dyDescent="0.35">
      <c r="A29" s="2" t="str">
        <f>Tabela1[[#This Row],[Nível]]&amp;Tabela1[[#This Row],[Valor]]</f>
        <v>SeniorValorização das Pessoas</v>
      </c>
      <c r="B29" s="2" t="s">
        <v>80</v>
      </c>
      <c r="C29" s="2" t="s">
        <v>67</v>
      </c>
      <c r="D29" s="1" t="s">
        <v>35</v>
      </c>
      <c r="E29" s="1" t="s">
        <v>71</v>
      </c>
    </row>
    <row r="30" spans="1:5" ht="26" x14ac:dyDescent="0.35">
      <c r="A30" s="2" t="str">
        <f>Tabela1[[#This Row],[Nível]]&amp;Tabela1[[#This Row],[Valor]]</f>
        <v>LeadValorização das Pessoas</v>
      </c>
      <c r="B30" s="2" t="s">
        <v>80</v>
      </c>
      <c r="C30" s="2" t="s">
        <v>67</v>
      </c>
      <c r="D30" s="1" t="s">
        <v>37</v>
      </c>
      <c r="E30" s="1" t="s">
        <v>72</v>
      </c>
    </row>
    <row r="31" spans="1:5" ht="26" x14ac:dyDescent="0.35">
      <c r="A31" s="2" t="str">
        <f>Tabela1[[#This Row],[Nível]]&amp;Tabela1[[#This Row],[Valor]]</f>
        <v>PrincipalValorização das Pessoas</v>
      </c>
      <c r="B31" s="2" t="s">
        <v>80</v>
      </c>
      <c r="C31" s="2" t="s">
        <v>67</v>
      </c>
      <c r="D31" s="1" t="s">
        <v>38</v>
      </c>
      <c r="E31" s="1" t="s">
        <v>73</v>
      </c>
    </row>
  </sheetData>
  <sheetProtection sheet="1" objects="1" scenario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5A8B-1B3F-4935-9C8E-DF5A659A3EA3}">
  <dimension ref="B5:H25"/>
  <sheetViews>
    <sheetView showGridLines="0" zoomScale="64" zoomScaleNormal="64" workbookViewId="0">
      <selection activeCell="N29" sqref="N29"/>
    </sheetView>
  </sheetViews>
  <sheetFormatPr defaultColWidth="8.81640625" defaultRowHeight="14.5" x14ac:dyDescent="0.35"/>
  <cols>
    <col min="2" max="2" width="9.7265625" customWidth="1"/>
    <col min="3" max="3" width="166.54296875" customWidth="1"/>
    <col min="4" max="4" width="25.54296875" style="89" bestFit="1" customWidth="1"/>
    <col min="5" max="5" width="8.1796875" bestFit="1" customWidth="1"/>
    <col min="6" max="7" width="12.26953125" bestFit="1" customWidth="1"/>
    <col min="8" max="8" width="12.81640625" bestFit="1" customWidth="1"/>
  </cols>
  <sheetData>
    <row r="5" spans="2:8" ht="21.5" x14ac:dyDescent="0.35">
      <c r="B5" s="217" t="s">
        <v>96</v>
      </c>
      <c r="C5" s="218"/>
      <c r="D5" s="221" t="s">
        <v>11</v>
      </c>
      <c r="E5" s="221" t="s">
        <v>12</v>
      </c>
      <c r="F5" s="223" t="s">
        <v>13</v>
      </c>
      <c r="G5" s="224"/>
      <c r="H5" s="225"/>
    </row>
    <row r="6" spans="2:8" ht="16.5" x14ac:dyDescent="0.35">
      <c r="B6" s="219"/>
      <c r="C6" s="220"/>
      <c r="D6" s="222"/>
      <c r="E6" s="222"/>
      <c r="F6" s="80" t="s">
        <v>19</v>
      </c>
      <c r="G6" s="80" t="s">
        <v>20</v>
      </c>
      <c r="H6" s="80" t="s">
        <v>21</v>
      </c>
    </row>
    <row r="7" spans="2:8" ht="27.65" customHeight="1" x14ac:dyDescent="0.35">
      <c r="B7" s="226" t="s">
        <v>22</v>
      </c>
      <c r="C7" s="81" t="s">
        <v>114</v>
      </c>
      <c r="D7" s="82" t="s">
        <v>126</v>
      </c>
      <c r="E7" s="21">
        <v>0.1</v>
      </c>
      <c r="F7" s="22">
        <v>30</v>
      </c>
      <c r="G7" s="22">
        <v>34</v>
      </c>
      <c r="H7" s="22">
        <v>36</v>
      </c>
    </row>
    <row r="8" spans="2:8" ht="27.65" customHeight="1" x14ac:dyDescent="0.35">
      <c r="B8" s="227"/>
      <c r="C8" s="81" t="s">
        <v>110</v>
      </c>
      <c r="D8" s="82" t="s">
        <v>23</v>
      </c>
      <c r="E8" s="21">
        <v>0.2</v>
      </c>
      <c r="F8" s="83">
        <v>0.95</v>
      </c>
      <c r="G8" s="83">
        <v>0.98</v>
      </c>
      <c r="H8" s="83">
        <v>1</v>
      </c>
    </row>
    <row r="9" spans="2:8" ht="27.65" customHeight="1" x14ac:dyDescent="0.35">
      <c r="B9" s="227"/>
      <c r="C9" s="81" t="s">
        <v>127</v>
      </c>
      <c r="D9" s="82" t="s">
        <v>23</v>
      </c>
      <c r="E9" s="21">
        <v>0.4</v>
      </c>
      <c r="F9" s="83">
        <v>0.6</v>
      </c>
      <c r="G9" s="83">
        <v>0.8</v>
      </c>
      <c r="H9" s="83">
        <v>1</v>
      </c>
    </row>
    <row r="10" spans="2:8" ht="27.65" customHeight="1" x14ac:dyDescent="0.35">
      <c r="B10" s="227"/>
      <c r="C10" s="81" t="s">
        <v>128</v>
      </c>
      <c r="D10" s="84" t="s">
        <v>126</v>
      </c>
      <c r="E10" s="21">
        <v>0.3</v>
      </c>
      <c r="F10" s="20">
        <v>2</v>
      </c>
      <c r="G10" s="20">
        <v>3</v>
      </c>
      <c r="H10" s="20">
        <v>5</v>
      </c>
    </row>
    <row r="11" spans="2:8" ht="27.65" customHeight="1" x14ac:dyDescent="0.35">
      <c r="B11" s="227"/>
      <c r="C11" s="81" t="s">
        <v>129</v>
      </c>
      <c r="D11" s="84" t="s">
        <v>126</v>
      </c>
      <c r="E11" s="21">
        <v>0.2</v>
      </c>
      <c r="F11" s="22">
        <v>15</v>
      </c>
      <c r="G11" s="22">
        <v>16</v>
      </c>
      <c r="H11" s="22">
        <v>18</v>
      </c>
    </row>
    <row r="12" spans="2:8" ht="27.65" customHeight="1" x14ac:dyDescent="0.35">
      <c r="B12" s="227"/>
      <c r="C12" s="81" t="s">
        <v>130</v>
      </c>
      <c r="D12" s="84" t="s">
        <v>23</v>
      </c>
      <c r="E12" s="21">
        <v>0.15</v>
      </c>
      <c r="F12" s="85">
        <v>0.92</v>
      </c>
      <c r="G12" s="85">
        <v>0.95</v>
      </c>
      <c r="H12" s="85">
        <v>1</v>
      </c>
    </row>
    <row r="13" spans="2:8" ht="27.65" customHeight="1" x14ac:dyDescent="0.35">
      <c r="B13" s="227"/>
      <c r="C13" s="81" t="s">
        <v>131</v>
      </c>
      <c r="D13" s="84" t="s">
        <v>23</v>
      </c>
      <c r="E13" s="21">
        <v>0.3</v>
      </c>
      <c r="F13" s="85">
        <v>0.7</v>
      </c>
      <c r="G13" s="85">
        <v>0.8</v>
      </c>
      <c r="H13" s="85">
        <v>1.2</v>
      </c>
    </row>
    <row r="14" spans="2:8" ht="27.65" customHeight="1" x14ac:dyDescent="0.35">
      <c r="B14" s="227"/>
      <c r="C14" s="81" t="s">
        <v>132</v>
      </c>
      <c r="D14" s="84" t="s">
        <v>23</v>
      </c>
      <c r="E14" s="21">
        <v>0.15</v>
      </c>
      <c r="F14" s="85">
        <v>0.92</v>
      </c>
      <c r="G14" s="85">
        <v>0.95</v>
      </c>
      <c r="H14" s="85">
        <v>1</v>
      </c>
    </row>
    <row r="15" spans="2:8" ht="27.65" customHeight="1" x14ac:dyDescent="0.35">
      <c r="B15" s="227"/>
      <c r="C15" s="81" t="s">
        <v>115</v>
      </c>
      <c r="D15" s="84" t="s">
        <v>126</v>
      </c>
      <c r="E15" s="21">
        <v>0.2</v>
      </c>
      <c r="F15" s="22">
        <v>4.9000000000000004</v>
      </c>
      <c r="G15" s="22">
        <v>5.2</v>
      </c>
      <c r="H15" s="22">
        <v>6</v>
      </c>
    </row>
    <row r="16" spans="2:8" ht="27.65" customHeight="1" x14ac:dyDescent="0.35">
      <c r="B16" s="228"/>
      <c r="C16" s="81" t="s">
        <v>133</v>
      </c>
      <c r="D16" s="82" t="s">
        <v>23</v>
      </c>
      <c r="E16" s="21">
        <v>0.3</v>
      </c>
      <c r="F16" s="85">
        <v>0.97</v>
      </c>
      <c r="G16" s="85">
        <v>0.99</v>
      </c>
      <c r="H16" s="85">
        <v>1</v>
      </c>
    </row>
    <row r="17" spans="2:8" ht="27.65" customHeight="1" x14ac:dyDescent="0.35">
      <c r="B17" s="214" t="s">
        <v>24</v>
      </c>
      <c r="C17" s="81" t="s">
        <v>116</v>
      </c>
      <c r="D17" s="82" t="s">
        <v>23</v>
      </c>
      <c r="E17" s="83">
        <v>0.05</v>
      </c>
      <c r="F17" s="83">
        <v>0.8</v>
      </c>
      <c r="G17" s="83">
        <v>0.9</v>
      </c>
      <c r="H17" s="83">
        <v>1</v>
      </c>
    </row>
    <row r="18" spans="2:8" ht="27.65" customHeight="1" x14ac:dyDescent="0.35">
      <c r="B18" s="215"/>
      <c r="C18" s="81" t="s">
        <v>117</v>
      </c>
      <c r="D18" s="82" t="s">
        <v>23</v>
      </c>
      <c r="E18" s="83">
        <v>0.05</v>
      </c>
      <c r="F18" s="83">
        <v>0.7</v>
      </c>
      <c r="G18" s="83">
        <v>0.95</v>
      </c>
      <c r="H18" s="83">
        <v>1</v>
      </c>
    </row>
    <row r="19" spans="2:8" ht="27.65" customHeight="1" x14ac:dyDescent="0.35">
      <c r="B19" s="215"/>
      <c r="C19" s="81" t="s">
        <v>111</v>
      </c>
      <c r="D19" s="82" t="s">
        <v>23</v>
      </c>
      <c r="E19" s="83">
        <v>0.1</v>
      </c>
      <c r="F19" s="83">
        <v>0.8</v>
      </c>
      <c r="G19" s="83">
        <v>0.9</v>
      </c>
      <c r="H19" s="83">
        <v>1</v>
      </c>
    </row>
    <row r="20" spans="2:8" ht="27.65" customHeight="1" x14ac:dyDescent="0.35">
      <c r="B20" s="215"/>
      <c r="C20" s="86" t="s">
        <v>112</v>
      </c>
      <c r="D20" s="84" t="s">
        <v>23</v>
      </c>
      <c r="E20" s="87">
        <v>0.25</v>
      </c>
      <c r="F20" s="83">
        <v>0.8</v>
      </c>
      <c r="G20" s="83">
        <v>0.9</v>
      </c>
      <c r="H20" s="83">
        <v>1</v>
      </c>
    </row>
    <row r="21" spans="2:8" ht="27.65" customHeight="1" x14ac:dyDescent="0.35">
      <c r="B21" s="215"/>
      <c r="C21" s="86" t="s">
        <v>113</v>
      </c>
      <c r="D21" s="82" t="s">
        <v>23</v>
      </c>
      <c r="E21" s="83">
        <v>0.1</v>
      </c>
      <c r="F21" s="83">
        <v>0.6</v>
      </c>
      <c r="G21" s="83">
        <v>0.9</v>
      </c>
      <c r="H21" s="83">
        <v>1</v>
      </c>
    </row>
    <row r="22" spans="2:8" ht="27.65" customHeight="1" x14ac:dyDescent="0.35">
      <c r="B22" s="215"/>
      <c r="C22" s="86" t="s">
        <v>118</v>
      </c>
      <c r="D22" s="82" t="s">
        <v>23</v>
      </c>
      <c r="E22" s="83">
        <v>0.1</v>
      </c>
      <c r="F22" s="83">
        <v>0.8</v>
      </c>
      <c r="G22" s="83">
        <v>0.9</v>
      </c>
      <c r="H22" s="83">
        <v>1</v>
      </c>
    </row>
    <row r="23" spans="2:8" ht="27.65" customHeight="1" x14ac:dyDescent="0.35">
      <c r="B23" s="215"/>
      <c r="C23" s="86" t="s">
        <v>119</v>
      </c>
      <c r="D23" s="84" t="s">
        <v>126</v>
      </c>
      <c r="E23" s="87">
        <v>0.15</v>
      </c>
      <c r="F23" s="88">
        <v>4</v>
      </c>
      <c r="G23" s="88">
        <v>8</v>
      </c>
      <c r="H23" s="88">
        <v>12</v>
      </c>
    </row>
    <row r="24" spans="2:8" ht="27.65" customHeight="1" x14ac:dyDescent="0.35">
      <c r="B24" s="215"/>
      <c r="C24" s="86" t="s">
        <v>120</v>
      </c>
      <c r="D24" s="82" t="s">
        <v>23</v>
      </c>
      <c r="E24" s="83">
        <v>0.1</v>
      </c>
      <c r="F24" s="83">
        <v>0.8</v>
      </c>
      <c r="G24" s="83">
        <v>0.9</v>
      </c>
      <c r="H24" s="83">
        <v>1</v>
      </c>
    </row>
    <row r="25" spans="2:8" ht="27.65" customHeight="1" x14ac:dyDescent="0.35">
      <c r="B25" s="216"/>
      <c r="C25" s="86" t="s">
        <v>121</v>
      </c>
      <c r="D25" s="82" t="s">
        <v>23</v>
      </c>
      <c r="E25" s="83">
        <v>0.1</v>
      </c>
      <c r="F25" s="83">
        <v>0.8</v>
      </c>
      <c r="G25" s="83">
        <v>0.9</v>
      </c>
      <c r="H25" s="83">
        <v>1</v>
      </c>
    </row>
  </sheetData>
  <sheetProtection sheet="1" objects="1" scenarios="1"/>
  <mergeCells count="6">
    <mergeCell ref="B17:B25"/>
    <mergeCell ref="B5:C6"/>
    <mergeCell ref="D5:D6"/>
    <mergeCell ref="E5:E6"/>
    <mergeCell ref="F5:H5"/>
    <mergeCell ref="B7:B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58AC-82B3-47BA-8074-4F37F8AEE810}">
  <dimension ref="B2:B36"/>
  <sheetViews>
    <sheetView showGridLines="0" zoomScale="62" zoomScaleNormal="62" workbookViewId="0">
      <selection activeCell="W13" sqref="W13"/>
    </sheetView>
  </sheetViews>
  <sheetFormatPr defaultColWidth="9.1796875" defaultRowHeight="16.5" x14ac:dyDescent="0.45"/>
  <cols>
    <col min="1" max="1" width="3.54296875" style="79" customWidth="1"/>
    <col min="2" max="2" width="7.54296875" style="79" customWidth="1"/>
    <col min="3" max="16384" width="9.1796875" style="79"/>
  </cols>
  <sheetData>
    <row r="2" spans="2:2" ht="15" customHeight="1" x14ac:dyDescent="0.45">
      <c r="B2" s="229" t="s">
        <v>108</v>
      </c>
    </row>
    <row r="3" spans="2:2" x14ac:dyDescent="0.45">
      <c r="B3" s="229"/>
    </row>
    <row r="4" spans="2:2" x14ac:dyDescent="0.45">
      <c r="B4" s="229"/>
    </row>
    <row r="5" spans="2:2" x14ac:dyDescent="0.45">
      <c r="B5" s="229"/>
    </row>
    <row r="6" spans="2:2" x14ac:dyDescent="0.45">
      <c r="B6" s="229"/>
    </row>
    <row r="7" spans="2:2" x14ac:dyDescent="0.45">
      <c r="B7" s="229"/>
    </row>
    <row r="8" spans="2:2" x14ac:dyDescent="0.45">
      <c r="B8" s="229"/>
    </row>
    <row r="9" spans="2:2" x14ac:dyDescent="0.45">
      <c r="B9" s="229"/>
    </row>
    <row r="10" spans="2:2" x14ac:dyDescent="0.45">
      <c r="B10" s="229"/>
    </row>
    <row r="11" spans="2:2" x14ac:dyDescent="0.45">
      <c r="B11" s="229"/>
    </row>
    <row r="12" spans="2:2" x14ac:dyDescent="0.45">
      <c r="B12" s="229"/>
    </row>
    <row r="13" spans="2:2" x14ac:dyDescent="0.45">
      <c r="B13" s="229"/>
    </row>
    <row r="14" spans="2:2" x14ac:dyDescent="0.45">
      <c r="B14" s="229"/>
    </row>
    <row r="15" spans="2:2" x14ac:dyDescent="0.45">
      <c r="B15" s="229"/>
    </row>
    <row r="16" spans="2:2" x14ac:dyDescent="0.45">
      <c r="B16" s="229"/>
    </row>
    <row r="20" spans="2:2" ht="15" customHeight="1" x14ac:dyDescent="0.45">
      <c r="B20" s="229" t="s">
        <v>109</v>
      </c>
    </row>
    <row r="21" spans="2:2" x14ac:dyDescent="0.45">
      <c r="B21" s="229"/>
    </row>
    <row r="22" spans="2:2" x14ac:dyDescent="0.45">
      <c r="B22" s="229"/>
    </row>
    <row r="23" spans="2:2" x14ac:dyDescent="0.45">
      <c r="B23" s="229"/>
    </row>
    <row r="24" spans="2:2" x14ac:dyDescent="0.45">
      <c r="B24" s="229"/>
    </row>
    <row r="25" spans="2:2" x14ac:dyDescent="0.45">
      <c r="B25" s="229"/>
    </row>
    <row r="26" spans="2:2" x14ac:dyDescent="0.45">
      <c r="B26" s="229"/>
    </row>
    <row r="27" spans="2:2" x14ac:dyDescent="0.45">
      <c r="B27" s="229"/>
    </row>
    <row r="28" spans="2:2" x14ac:dyDescent="0.45">
      <c r="B28" s="229"/>
    </row>
    <row r="29" spans="2:2" x14ac:dyDescent="0.45">
      <c r="B29" s="229"/>
    </row>
    <row r="30" spans="2:2" x14ac:dyDescent="0.45">
      <c r="B30" s="229"/>
    </row>
    <row r="31" spans="2:2" x14ac:dyDescent="0.45">
      <c r="B31" s="229"/>
    </row>
    <row r="32" spans="2:2" x14ac:dyDescent="0.45">
      <c r="B32" s="229"/>
    </row>
    <row r="33" spans="2:2" x14ac:dyDescent="0.45">
      <c r="B33" s="229"/>
    </row>
    <row r="34" spans="2:2" x14ac:dyDescent="0.45">
      <c r="B34" s="229"/>
    </row>
    <row r="35" spans="2:2" x14ac:dyDescent="0.45">
      <c r="B35" s="229"/>
    </row>
    <row r="36" spans="2:2" x14ac:dyDescent="0.45">
      <c r="B36" s="229"/>
    </row>
  </sheetData>
  <sheetProtection sheet="1" objects="1" scenarios="1"/>
  <mergeCells count="3">
    <mergeCell ref="B2:B16"/>
    <mergeCell ref="B20:B34"/>
    <mergeCell ref="B35:B3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d8630e-da0b-4d67-ab0a-a2fa432d7e60">
      <Terms xmlns="http://schemas.microsoft.com/office/infopath/2007/PartnerControls"/>
    </lcf76f155ced4ddcb4097134ff3c332f>
    <TaxCatchAll xmlns="50dcfa85-84d4-45ef-83d4-070416fe4a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160F448DD56746AE9D7EB32CC09DC8" ma:contentTypeVersion="19" ma:contentTypeDescription="Criar um novo documento." ma:contentTypeScope="" ma:versionID="11590c036c2b7f4ead1dafcfb6520998">
  <xsd:schema xmlns:xsd="http://www.w3.org/2001/XMLSchema" xmlns:xs="http://www.w3.org/2001/XMLSchema" xmlns:p="http://schemas.microsoft.com/office/2006/metadata/properties" xmlns:ns2="3ed8630e-da0b-4d67-ab0a-a2fa432d7e60" xmlns:ns3="50dcfa85-84d4-45ef-83d4-070416fe4aae" targetNamespace="http://schemas.microsoft.com/office/2006/metadata/properties" ma:root="true" ma:fieldsID="77a8a49652766ffb692dc27c28104281" ns2:_="" ns3:_="">
    <xsd:import namespace="3ed8630e-da0b-4d67-ab0a-a2fa432d7e60"/>
    <xsd:import namespace="50dcfa85-84d4-45ef-83d4-070416fe4a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8630e-da0b-4d67-ab0a-a2fa432d7e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9b1e5951-1305-42a0-9cd8-200f9765fe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dcfa85-84d4-45ef-83d4-070416fe4aa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be5394b-8a37-4448-9104-9b6337e3ea0a}" ma:internalName="TaxCatchAll" ma:showField="CatchAllData" ma:web="50dcfa85-84d4-45ef-83d4-070416fe4a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BFC193-4A6E-42C5-9B83-0EF3435F9048}">
  <ds:schemaRefs>
    <ds:schemaRef ds:uri="http://schemas.microsoft.com/office/2006/metadata/properties"/>
    <ds:schemaRef ds:uri="http://schemas.microsoft.com/office/infopath/2007/PartnerControls"/>
    <ds:schemaRef ds:uri="3ed8630e-da0b-4d67-ab0a-a2fa432d7e60"/>
    <ds:schemaRef ds:uri="50dcfa85-84d4-45ef-83d4-070416fe4aae"/>
  </ds:schemaRefs>
</ds:datastoreItem>
</file>

<file path=customXml/itemProps2.xml><?xml version="1.0" encoding="utf-8"?>
<ds:datastoreItem xmlns:ds="http://schemas.openxmlformats.org/officeDocument/2006/customXml" ds:itemID="{869619D6-9E9E-4DB0-BCBB-AFE1EAFE37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E33DEE-EC78-4FDE-870D-F5CB110F00F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B7C192E-B0DD-4275-9C8A-74F11F219C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Guião</vt:lpstr>
      <vt:lpstr>ADC</vt:lpstr>
      <vt:lpstr>MATRIZ</vt:lpstr>
      <vt:lpstr>EXEMPLOS KPIs</vt:lpstr>
      <vt:lpstr>Processo de Avaliação</vt:lpstr>
      <vt:lpstr>ADC!Print_Area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Marcia Matos de Azevedo</dc:creator>
  <cp:keywords/>
  <dc:description/>
  <cp:lastModifiedBy>Camila Teixeira</cp:lastModifiedBy>
  <cp:revision/>
  <cp:lastPrinted>2026-04-02T19:52:48Z</cp:lastPrinted>
  <dcterms:created xsi:type="dcterms:W3CDTF">2013-03-28T20:09:31Z</dcterms:created>
  <dcterms:modified xsi:type="dcterms:W3CDTF">2026-04-08T14:11:40Z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0x01010064160F448DD56746AE9D7EB32CC09DC8</vt:lpwstr>
  </property>
  <property fmtid="{D5CDD505-2E9C-101B-9397-08002B2CF9AE}" pid="3" name="Check-out">
    <vt:lpwstr/>
  </property>
  <property fmtid="{D5CDD505-2E9C-101B-9397-08002B2CF9AE}" pid="4" name="Checkout">
    <vt:lpwstr/>
  </property>
  <property fmtid="{D5CDD505-2E9C-101B-9397-08002B2CF9AE}" pid="5" name="lcf76f155ced4ddcb4097134ff3c332f">
    <vt:lpwstr/>
  </property>
  <property fmtid="{D5CDD505-2E9C-101B-9397-08002B2CF9AE}" pid="6" name="TaxCatchAll">
    <vt:lpwstr/>
  </property>
  <property fmtid="{D5CDD505-2E9C-101B-9397-08002B2CF9AE}" pid="7" name="MediaServiceImageTags">
    <vt:lpwstr/>
  </property>
</Properties>
</file>